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nrey-my.sharepoint.com/personal/tecnologia_reymon_com_co/Documents/Departamento de Tecnologia/SIESA/Planos/"/>
    </mc:Choice>
  </mc:AlternateContent>
  <xr:revisionPtr revIDLastSave="229" documentId="14_{F7B9D7FC-B7E3-4DC0-A0C1-E16AFA56DB85}" xr6:coauthVersionLast="47" xr6:coauthVersionMax="47" xr10:uidLastSave="{D6422533-268C-4CE2-A8B8-276B7D276D51}"/>
  <bookViews>
    <workbookView xWindow="-120" yWindow="-120" windowWidth="20730" windowHeight="11040" tabRatio="838" activeTab="1" xr2:uid="{00000000-000D-0000-FFFF-FFFF00000000}"/>
  </bookViews>
  <sheets>
    <sheet name="Instrucciones" sheetId="1" r:id="rId1"/>
    <sheet name="DocInv" sheetId="125" r:id="rId2"/>
    <sheet name="Encabezado" sheetId="127" r:id="rId3"/>
    <sheet name="MovInv" sheetId="126" r:id="rId4"/>
    <sheet name="Detalle" sheetId="128" r:id="rId5"/>
  </sheets>
  <functionGroups builtInGroupCount="19"/>
  <definedNames>
    <definedName name="_xlnm._FilterDatabase" localSheetId="3" hidden="1">MovInv!$A$1:$AI$6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28" l="1"/>
  <c r="H13" i="128" s="1"/>
  <c r="H12" i="128"/>
  <c r="F10" i="127"/>
  <c r="H9" i="127"/>
  <c r="F14" i="128" l="1"/>
  <c r="F15" i="128" s="1"/>
  <c r="H15" i="128" s="1"/>
  <c r="F16" i="128"/>
  <c r="H14" i="128"/>
  <c r="F11" i="127"/>
  <c r="H10" i="127"/>
  <c r="H16" i="128" l="1"/>
  <c r="F17" i="128"/>
  <c r="H11" i="127"/>
  <c r="F12" i="127"/>
  <c r="H17" i="128" l="1"/>
  <c r="F18" i="128"/>
  <c r="F13" i="127"/>
  <c r="H12" i="127"/>
  <c r="F19" i="128" l="1"/>
  <c r="H18" i="128"/>
  <c r="H13" i="127"/>
  <c r="F14" i="127"/>
  <c r="H19" i="128" l="1"/>
  <c r="F20" i="128"/>
  <c r="F15" i="127"/>
  <c r="H14" i="127"/>
  <c r="H20" i="128" l="1"/>
  <c r="F21" i="128"/>
  <c r="H15" i="127"/>
  <c r="F16" i="127"/>
  <c r="H21" i="128" l="1"/>
  <c r="F22" i="128"/>
  <c r="F17" i="127"/>
  <c r="H16" i="127"/>
  <c r="F23" i="128" l="1"/>
  <c r="H22" i="128"/>
  <c r="H17" i="127"/>
  <c r="F18" i="127"/>
  <c r="H23" i="128" l="1"/>
  <c r="F24" i="128"/>
  <c r="F19" i="127"/>
  <c r="H18" i="127"/>
  <c r="H24" i="128" l="1"/>
  <c r="F25" i="128"/>
  <c r="H19" i="127"/>
  <c r="F20" i="127"/>
  <c r="H25" i="128" l="1"/>
  <c r="F26" i="128"/>
  <c r="F21" i="127"/>
  <c r="H20" i="127"/>
  <c r="H26" i="128" l="1"/>
  <c r="F27" i="128"/>
  <c r="H21" i="127"/>
  <c r="F22" i="127"/>
  <c r="H27" i="128" l="1"/>
  <c r="F28" i="128"/>
  <c r="F23" i="127"/>
  <c r="H22" i="127"/>
  <c r="F29" i="128" l="1"/>
  <c r="H28" i="128"/>
  <c r="H23" i="127"/>
  <c r="F24" i="127"/>
  <c r="H29" i="128" l="1"/>
  <c r="F30" i="128"/>
  <c r="F25" i="127"/>
  <c r="H24" i="127"/>
  <c r="F31" i="128" l="1"/>
  <c r="H30" i="128"/>
  <c r="H25" i="127"/>
  <c r="F26" i="127"/>
  <c r="H31" i="128" l="1"/>
  <c r="F32" i="128"/>
  <c r="F27" i="127"/>
  <c r="H26" i="127"/>
  <c r="H32" i="128" l="1"/>
  <c r="F33" i="128"/>
  <c r="H27" i="127"/>
  <c r="F28" i="127"/>
  <c r="H33" i="128" l="1"/>
  <c r="F34" i="128"/>
  <c r="F29" i="127"/>
  <c r="H28" i="127"/>
  <c r="F35" i="128" l="1"/>
  <c r="H34" i="128"/>
  <c r="H29" i="127"/>
  <c r="F30" i="127"/>
  <c r="H35" i="128" l="1"/>
  <c r="F36" i="128"/>
  <c r="F31" i="127"/>
  <c r="H30" i="127"/>
  <c r="H36" i="128" l="1"/>
  <c r="F37" i="128"/>
  <c r="H31" i="127"/>
  <c r="F32" i="127"/>
  <c r="H37" i="128" l="1"/>
  <c r="F38" i="128"/>
  <c r="F33" i="127"/>
  <c r="H32" i="127"/>
  <c r="F39" i="128" l="1"/>
  <c r="H38" i="128"/>
  <c r="H33" i="127"/>
  <c r="F34" i="127"/>
  <c r="H39" i="128" l="1"/>
  <c r="F40" i="128"/>
  <c r="F35" i="127"/>
  <c r="H34" i="127"/>
  <c r="H40" i="128" l="1"/>
  <c r="F41" i="128"/>
  <c r="H35" i="127"/>
  <c r="F36" i="127"/>
  <c r="H41" i="128" l="1"/>
  <c r="F42" i="128"/>
  <c r="F37" i="127"/>
  <c r="H36" i="127"/>
  <c r="H42" i="128" l="1"/>
  <c r="F43" i="128"/>
  <c r="H37" i="127"/>
  <c r="F38" i="127"/>
  <c r="H43" i="128" l="1"/>
  <c r="F44" i="128"/>
  <c r="F39" i="127"/>
  <c r="H38" i="127"/>
  <c r="F45" i="128" l="1"/>
  <c r="H45" i="128" s="1"/>
  <c r="H44" i="128"/>
  <c r="H39" i="127"/>
  <c r="F40" i="127"/>
  <c r="F41" i="127" l="1"/>
  <c r="H40" i="127"/>
  <c r="H41" i="127" l="1"/>
  <c r="F42" i="127"/>
  <c r="F43" i="127" l="1"/>
  <c r="H42" i="127"/>
  <c r="H43" i="127" l="1"/>
  <c r="F44" i="127"/>
  <c r="F45" i="127" l="1"/>
  <c r="H44" i="127"/>
  <c r="H45" i="127" l="1"/>
  <c r="F46" i="127"/>
  <c r="F47" i="127" l="1"/>
  <c r="H46" i="127"/>
  <c r="H47" i="127" l="1"/>
  <c r="F48" i="127"/>
  <c r="F49" i="127" l="1"/>
  <c r="H48" i="127"/>
  <c r="H49" i="127" l="1"/>
  <c r="F50" i="127"/>
  <c r="F51" i="127" l="1"/>
  <c r="H50" i="127"/>
  <c r="H51" i="127" l="1"/>
  <c r="F52" i="127"/>
  <c r="F53" i="127" l="1"/>
  <c r="H52" i="127"/>
  <c r="H53" i="127" l="1"/>
  <c r="F54" i="127"/>
  <c r="F55" i="127" l="1"/>
  <c r="H54" i="127"/>
  <c r="H55" i="127" l="1"/>
  <c r="F56" i="127"/>
  <c r="F57" i="127" l="1"/>
  <c r="H56" i="127"/>
  <c r="H57" i="127" l="1"/>
  <c r="F58" i="127"/>
  <c r="H58" i="127" s="1"/>
</calcChain>
</file>

<file path=xl/sharedStrings.xml><?xml version="1.0" encoding="utf-8"?>
<sst xmlns="http://schemas.openxmlformats.org/spreadsheetml/2006/main" count="3391" uniqueCount="444">
  <si>
    <t>Filas</t>
  </si>
  <si>
    <t>F_NUMERO-REG</t>
  </si>
  <si>
    <t>F_TIPO-REG</t>
  </si>
  <si>
    <t>F_SUBTIPO_REG</t>
  </si>
  <si>
    <t>F_VERSION-REG</t>
  </si>
  <si>
    <t>F_CIA</t>
  </si>
  <si>
    <t>F_LIQUIDA_IMPUESTO</t>
  </si>
  <si>
    <t>F_CONSEC_AUTO_REG</t>
  </si>
  <si>
    <t>F_IND_CONTACTO</t>
  </si>
  <si>
    <t>f430_id_co</t>
  </si>
  <si>
    <t>f430_id_tipo_docto</t>
  </si>
  <si>
    <t>f430_consec_docto</t>
  </si>
  <si>
    <t>f430_id_fecha</t>
  </si>
  <si>
    <t>f430_id_clase_docto</t>
  </si>
  <si>
    <t>f430_ind_estado</t>
  </si>
  <si>
    <t>f430_ind_backorder</t>
  </si>
  <si>
    <t>f430_id_tercero_fact</t>
  </si>
  <si>
    <t>f430_id_sucursal_fact</t>
  </si>
  <si>
    <t>f430_id_tercero_rem</t>
  </si>
  <si>
    <t>f430_id_sucursal_rem</t>
  </si>
  <si>
    <t>f430_id_tipo_cli_fact</t>
  </si>
  <si>
    <t>f430_id_co_fact</t>
  </si>
  <si>
    <t>f430_fecha_entrega</t>
  </si>
  <si>
    <t>f430_num_dias_entrega</t>
  </si>
  <si>
    <t>f430_num_docto_referencia</t>
  </si>
  <si>
    <t>f430_referencia</t>
  </si>
  <si>
    <t>f430_id_cargue</t>
  </si>
  <si>
    <t>f430_id_moneda_docto</t>
  </si>
  <si>
    <t>f430_id_moneda_conv</t>
  </si>
  <si>
    <t>f430_tasa_conv</t>
  </si>
  <si>
    <t>f430_id_moneda_local</t>
  </si>
  <si>
    <t>f430_tasa_local</t>
  </si>
  <si>
    <t>f430_id_cond_pago</t>
  </si>
  <si>
    <t>f430_ind_impresion</t>
  </si>
  <si>
    <t>f430_notas</t>
  </si>
  <si>
    <t>f430_id_cli_contado</t>
  </si>
  <si>
    <t>f430_id_punto_envio</t>
  </si>
  <si>
    <t>f430_id_tercero_vendedor</t>
  </si>
  <si>
    <t>f419_contacto</t>
  </si>
  <si>
    <t>f419_direccion1</t>
  </si>
  <si>
    <t>f419_direccion2</t>
  </si>
  <si>
    <t>f419_direccion3</t>
  </si>
  <si>
    <t>f419_id_pais</t>
  </si>
  <si>
    <t>f419_id_depto</t>
  </si>
  <si>
    <t>f419_id_ciudad</t>
  </si>
  <si>
    <t>f419_id_barrio</t>
  </si>
  <si>
    <t>f419_telefono</t>
  </si>
  <si>
    <t>f419_fax</t>
  </si>
  <si>
    <t>f419_cod_postal</t>
  </si>
  <si>
    <t>f419_email</t>
  </si>
  <si>
    <t>f419_ind_descuento</t>
  </si>
  <si>
    <t>Tipo</t>
  </si>
  <si>
    <t>Num</t>
  </si>
  <si>
    <t>Alf</t>
  </si>
  <si>
    <t>Campo</t>
  </si>
  <si>
    <t>430</t>
  </si>
  <si>
    <t>00</t>
  </si>
  <si>
    <t>02</t>
  </si>
  <si>
    <t>001</t>
  </si>
  <si>
    <t>1</t>
  </si>
  <si>
    <t>PVC</t>
  </si>
  <si>
    <t>502</t>
  </si>
  <si>
    <t>COP</t>
  </si>
  <si>
    <t>0</t>
  </si>
  <si>
    <t>2</t>
  </si>
  <si>
    <t>SIESA HITECH S.A</t>
  </si>
  <si>
    <t>ARCHIVOS PLANOS PARA IMPORTACIÓN DE PEDIDOS</t>
  </si>
  <si>
    <t>NOMBRE</t>
  </si>
  <si>
    <t>DESCRIPCION</t>
  </si>
  <si>
    <t>TIPO</t>
  </si>
  <si>
    <t>OBSERVACIONES</t>
  </si>
  <si>
    <t>OBL</t>
  </si>
  <si>
    <t>INICIO</t>
  </si>
  <si>
    <t>TAMAÑO</t>
  </si>
  <si>
    <t>TOTAL</t>
  </si>
  <si>
    <t>INFORMACION DEL DOCUMENTO DE PEDIDOS A PARTIR DE 1.9.1224 PARA VERSION DE MOVIMIENTO 2</t>
  </si>
  <si>
    <t>Numero de registro</t>
  </si>
  <si>
    <t>Numérico</t>
  </si>
  <si>
    <t>Numero consecutivo</t>
  </si>
  <si>
    <t>Si</t>
  </si>
  <si>
    <t>Tipo de registro</t>
  </si>
  <si>
    <t>Valor fijo = 430</t>
  </si>
  <si>
    <t>Subtipo de registro</t>
  </si>
  <si>
    <t>Valor fijo = 00</t>
  </si>
  <si>
    <t>Versión del tipo de registro</t>
  </si>
  <si>
    <t>Versión = 02</t>
  </si>
  <si>
    <t>Compañía</t>
  </si>
  <si>
    <t>Valida en maestro, código de la compañía a la cual pertenece la información del registro</t>
  </si>
  <si>
    <t>Indicador para liquidar impuestos</t>
  </si>
  <si>
    <t>0=No liquida impuestos, respeta los que estan en el plano.
1=Liquida impuestos con los parámetros del sistema. Este indicador no se tendra en cuenta cuando los movimientos son paquetes.</t>
  </si>
  <si>
    <t>Indica si el numero consecutivo de docto es manual o automático</t>
  </si>
  <si>
    <t>0=Manual, significa que respecta el consecutivo asignado en el plano, 1=Automático, significa que el consecutivo es recalculado con base en la tabla de consecutivos de docto.</t>
  </si>
  <si>
    <t>Indicador de contacto</t>
  </si>
  <si>
    <t>0=Respeta la información del contacto contenida en el archivo plano.
1=Al importar el sistema lee el contacto automaticamente del punto de envio</t>
  </si>
  <si>
    <t>Centro de operación del documento</t>
  </si>
  <si>
    <t>Alfanumérico</t>
  </si>
  <si>
    <t>Valida en maestro, código de centro de operación del documento</t>
  </si>
  <si>
    <t>Tipo de documento</t>
  </si>
  <si>
    <t>Valida en maestro, código de tipo de documento</t>
  </si>
  <si>
    <t>Numero de documento</t>
  </si>
  <si>
    <t>Fecha del documento</t>
  </si>
  <si>
    <t>El formato debe ser AAAAMMDD</t>
  </si>
  <si>
    <t>Clase interna del documento</t>
  </si>
  <si>
    <t>Pedido directo = 502, Pedido no facturable = 506, Pedido para devolución = 508</t>
  </si>
  <si>
    <t>Estado del documento</t>
  </si>
  <si>
    <t>0=Elaboración; 1=Aprobado cartera; 2=Aprobado; 9=Anulado</t>
  </si>
  <si>
    <t>Indicador backorder del documento</t>
  </si>
  <si>
    <t>0=Despachar solo lo disponible, 1=Despachar solo lo disponible y lo demás cancele, 2=Despachar sólo lineas completas y demas pendientes, 3=Despachar sólo lineas completas y demás cancele, 4=Despachar sólo pedido completo, 5=por linea</t>
  </si>
  <si>
    <t xml:space="preserve"> </t>
  </si>
  <si>
    <t>Tercero cliente a facturar</t>
  </si>
  <si>
    <t>Valida en maestro, código de tercero cliente</t>
  </si>
  <si>
    <t>Sucursal cliente a facturar</t>
  </si>
  <si>
    <t>Valida en maestro el codigo de la sucursal del cliente a facturar</t>
  </si>
  <si>
    <t>Tercero cliente a despachar</t>
  </si>
  <si>
    <t>valida en maestro , codigo del tercero del cliente a despachar</t>
  </si>
  <si>
    <t>Sucursal cliente a despachar</t>
  </si>
  <si>
    <t>Valida en maestro el codigo de la sucursal del cliente a despachar</t>
  </si>
  <si>
    <t>Tipo de cliente</t>
  </si>
  <si>
    <t>Valida en maestro, tipo de clientes. Si es vacio la trae del cliente a facturar</t>
  </si>
  <si>
    <t>No</t>
  </si>
  <si>
    <t>Centro de operación de la factura</t>
  </si>
  <si>
    <t>Fecha entrega del pedido</t>
  </si>
  <si>
    <t>Fecha</t>
  </si>
  <si>
    <t>Nro. dias de entrega del documento</t>
  </si>
  <si>
    <t>Valida Nro de dias en que se estima, la entrega del pedido</t>
  </si>
  <si>
    <t>Orden de compra del Documento</t>
  </si>
  <si>
    <t>Valida la orden de compra del documento</t>
  </si>
  <si>
    <t>Referencia del documento</t>
  </si>
  <si>
    <t>Valida la referencia del documento</t>
  </si>
  <si>
    <t>Codigo de cargue del documento</t>
  </si>
  <si>
    <t>Valida numero de cargue del documento</t>
  </si>
  <si>
    <t>Codigo de moneda del documento</t>
  </si>
  <si>
    <t>Valida moneda del documento</t>
  </si>
  <si>
    <t>Moneda base de conversión</t>
  </si>
  <si>
    <t xml:space="preserve">Valida en maestro, código de moneda base definida en la compañía. </t>
  </si>
  <si>
    <t>Tasa de conversión</t>
  </si>
  <si>
    <t>Coloque 1 si la moneda del documento es igual a la moneda local o a la moneda base de conversion de lo contrario coloque la tasa de conversion.
El formato debe ser (8 enteros + punto + 4 decimales) (00000000.0000)</t>
  </si>
  <si>
    <t>Moneda local</t>
  </si>
  <si>
    <t>Valida en maestro, código de moneda local definida en la compañía.</t>
  </si>
  <si>
    <t xml:space="preserve">Tasa local </t>
  </si>
  <si>
    <t>Coloque 1 si la moneda del documento es igual a la moneda local de lo contrario coloque la tasa de cambio.
El formato debe ser (8 enteros + punto + 4 decimales) (00000000.0000)</t>
  </si>
  <si>
    <t>Condicion de pago</t>
  </si>
  <si>
    <t>Valida en maestro, condiciones de pago</t>
  </si>
  <si>
    <t>Estado de impresión del documento</t>
  </si>
  <si>
    <t>0=No Impreso; 1=Impreso</t>
  </si>
  <si>
    <t>Observaciones del documento</t>
  </si>
  <si>
    <t>Observaciones</t>
  </si>
  <si>
    <t>Cliente de contado</t>
  </si>
  <si>
    <t>Valida en maestro, clientes ocasional</t>
  </si>
  <si>
    <t>Punto de envio</t>
  </si>
  <si>
    <t>Valida en maestro de puntos de envio del cliente</t>
  </si>
  <si>
    <t>Vendedor del pedido</t>
  </si>
  <si>
    <t>Si es vacio lo trae del cliente a facturar</t>
  </si>
  <si>
    <t>Contacto</t>
  </si>
  <si>
    <t>Obligatorio si el indicador de contacto es 0. Nombre de la persona de contacto</t>
  </si>
  <si>
    <t>Dep</t>
  </si>
  <si>
    <t>Direccion 1</t>
  </si>
  <si>
    <t>Obligatorio si el indicador de contacto es 0. Renglón 1 de la dirección del contacto</t>
  </si>
  <si>
    <t>Direccion 2</t>
  </si>
  <si>
    <t>Renglón 2 de la dirección del contacto</t>
  </si>
  <si>
    <t>Direccion 3</t>
  </si>
  <si>
    <t>Renglón 3 de la dirección del contacto</t>
  </si>
  <si>
    <t>Pais</t>
  </si>
  <si>
    <t>Valida en maestro, código del país</t>
  </si>
  <si>
    <t>Departamento/Estado</t>
  </si>
  <si>
    <t>Obligatorio si el indicador de contacto es 0 y reportan codigo de pais. Valida en maestro, código del departamento</t>
  </si>
  <si>
    <t>Ciudad</t>
  </si>
  <si>
    <t>Obligatorio si el indicador de contacto es 0 y reportan codigo de Departamento.Valida en maestro, código de la ciudad</t>
  </si>
  <si>
    <t>Barrio</t>
  </si>
  <si>
    <t xml:space="preserve">Barrio </t>
  </si>
  <si>
    <t>Telefono</t>
  </si>
  <si>
    <t>Teléfono</t>
  </si>
  <si>
    <t>Fax</t>
  </si>
  <si>
    <t>Codigo postal</t>
  </si>
  <si>
    <t>código postal o apartado aéreo</t>
  </si>
  <si>
    <t>E-Mail</t>
  </si>
  <si>
    <t>dirección de correo electrónico</t>
  </si>
  <si>
    <t>Indicador de descuento</t>
  </si>
  <si>
    <t>0 = Reliquida descuentos.                                                        1 = Liquida con descuentos del plano                              2 = Descuentos manuales y automáticos  (primero se liquidaran los descuentos automaticos y despues los manuales.).                                                                      3 = Descuentos manuales y obsequios automáticos.</t>
  </si>
  <si>
    <t>NOTAS GENERALES: Los campos que no son requeridos deben dejarse en blanco o en ceros dependiendo de el tipo de dato, esto con el fin de conservar la estructura del archivo en cuanto a su posición inicial y final.</t>
  </si>
  <si>
    <t>F_SUBTIPO-REG</t>
  </si>
  <si>
    <t xml:space="preserve">f431_id_co </t>
  </si>
  <si>
    <t>f431_id_tipo_docto</t>
  </si>
  <si>
    <t>f431_consec_docto</t>
  </si>
  <si>
    <t>f431_nro_registro</t>
  </si>
  <si>
    <t>f431_id_item</t>
  </si>
  <si>
    <t>f431_referencia_item</t>
  </si>
  <si>
    <t>f431_codigo_barras</t>
  </si>
  <si>
    <t>f431_id_ext1_detalle</t>
  </si>
  <si>
    <t>f431_id_ext2_detalle</t>
  </si>
  <si>
    <t>f431_id_bodega</t>
  </si>
  <si>
    <t>f431_id_concepto</t>
  </si>
  <si>
    <t>f431_id_motivo</t>
  </si>
  <si>
    <t>f431_ind_obsequio</t>
  </si>
  <si>
    <t>f431_id_co_movto</t>
  </si>
  <si>
    <t>f431_id_un_movto</t>
  </si>
  <si>
    <t>f431_id_ccosto_movto</t>
  </si>
  <si>
    <t>f431_id_proyecto</t>
  </si>
  <si>
    <t>f431_fecha_entrega</t>
  </si>
  <si>
    <t>f431_num_dias_entrega</t>
  </si>
  <si>
    <t>f431_id_lista_precio</t>
  </si>
  <si>
    <t>f431_id_unidad_medida</t>
  </si>
  <si>
    <t>f431_cant_pedida_base</t>
  </si>
  <si>
    <t>f431_cant2_pedida</t>
  </si>
  <si>
    <t>f431_precio_unitario</t>
  </si>
  <si>
    <t>f431_ind_impto_asumido</t>
  </si>
  <si>
    <t>f431_notas</t>
  </si>
  <si>
    <t>f431_detalle</t>
  </si>
  <si>
    <t>f431_ind_backorder</t>
  </si>
  <si>
    <t>f431_ind_precio</t>
  </si>
  <si>
    <t>431</t>
  </si>
  <si>
    <t>PT001</t>
  </si>
  <si>
    <t>501</t>
  </si>
  <si>
    <t>019</t>
  </si>
  <si>
    <t>240</t>
  </si>
  <si>
    <t>UND</t>
  </si>
  <si>
    <t>5</t>
  </si>
  <si>
    <t>3</t>
  </si>
  <si>
    <t>ARCHIVOS PLANOS PARA IMPORTACIÓN DE PEDIDOS MOVIMIENTO</t>
  </si>
  <si>
    <t>MOVIMIENTO DE PEDIDOS PARA VERSION DE DOCUMENTO 2</t>
  </si>
  <si>
    <t>Valor fijo = 431</t>
  </si>
  <si>
    <t>Version del tipo de registro</t>
  </si>
  <si>
    <t>Version = 02</t>
  </si>
  <si>
    <t>Valida en maestro, código de la compañía a la cual pertenece la informacion del registro</t>
  </si>
  <si>
    <t>Centro de operación</t>
  </si>
  <si>
    <t xml:space="preserve">Tipo de documento </t>
  </si>
  <si>
    <t>Valida en maestro, código de tipo de documento, tipo de documento del pedido</t>
  </si>
  <si>
    <t xml:space="preserve">Consecutivo de documento </t>
  </si>
  <si>
    <t>Numero de documento del pedido</t>
  </si>
  <si>
    <t>Numero de registro del movimiento</t>
  </si>
  <si>
    <t>Item</t>
  </si>
  <si>
    <t>Codigo, es obligatorio si no va referencia ni codigo de barras</t>
  </si>
  <si>
    <t>Referencia item</t>
  </si>
  <si>
    <t>Codigo, es obligatorio si no va codigo de item ni codigo de barras</t>
  </si>
  <si>
    <t>Codigo de barras</t>
  </si>
  <si>
    <t>Codigo, es obligatorio si no va codigo de item ni referencia</t>
  </si>
  <si>
    <t>Extension 1</t>
  </si>
  <si>
    <t>Es obligatorio si el ítem maneja extensión 1</t>
  </si>
  <si>
    <t>Extension 2</t>
  </si>
  <si>
    <t>Es obligatorio si el ítem maneja extensión 2</t>
  </si>
  <si>
    <t>Bodega</t>
  </si>
  <si>
    <t>Valida en maestro, código de bodega</t>
  </si>
  <si>
    <t>Concepto</t>
  </si>
  <si>
    <t>501=Ventas, 502=Devolución de venta, 511 = Remisiones no facturables</t>
  </si>
  <si>
    <t>Motivo</t>
  </si>
  <si>
    <t>Valida en maestro, código de motivo</t>
  </si>
  <si>
    <t>Indicador de obsequio</t>
  </si>
  <si>
    <t>Indicador de obsequio 0=No, 1=Si</t>
  </si>
  <si>
    <t>Centro de operación movimiento</t>
  </si>
  <si>
    <t>Valida en maestro, código de centro de operación del movimiento</t>
  </si>
  <si>
    <t>Unidad de negocio movimiento</t>
  </si>
  <si>
    <t>Valida en maestro, código de unidad de negocio del movimiento. Si es vacio el sistema la calcula</t>
  </si>
  <si>
    <t>Centro de costo movimiento</t>
  </si>
  <si>
    <t>Obligatorio si la  cuenta contable exige ccosto. Valida en maestro, código de centro de costo del movimiento.</t>
  </si>
  <si>
    <t>Proyecto</t>
  </si>
  <si>
    <t>Valida en maestro, código de proyecto del movimiento</t>
  </si>
  <si>
    <t>Lista de precio</t>
  </si>
  <si>
    <t>Valida en maestro, código de la lista de precio, obligatoio si indicador de precio es 1 ó 2.</t>
  </si>
  <si>
    <t>Unidad de medida</t>
  </si>
  <si>
    <t>Valida en maestro, código de unidad de medida del movimiento</t>
  </si>
  <si>
    <t>Cantidad base</t>
  </si>
  <si>
    <t>Cantidad en unidad de captura, el formato debe ser (15 enteros + punto + 4 decimales). El número de decimales se deben reportar teniendo en cuenta el número de decimales configurados en la unidad de medidad.
(000000000000000.0000)</t>
  </si>
  <si>
    <t>Cantidad adicional</t>
  </si>
  <si>
    <t>Cantidad adicional, es obligatorio si el item maneja unidad adicional, el formato debe ser (15 enteros + punto + 4 decimales). El número de decimales se deben reportar teniendo en cuenta el número de decimales configurados en la unidad de medidad.
(000000000000000.0000)</t>
  </si>
  <si>
    <t>Precio unitario</t>
  </si>
  <si>
    <t>Debe ser mayor a 0 si no es obsequio y si el indicador de precio es 2. El formato debe ser (15 enteros + punto + 4 decimales). El número de decimales se deben reportar teniendo en cuenta el número de decimales configurados en la moneda (decimales unidades).</t>
  </si>
  <si>
    <t>Impuestos asumidos</t>
  </si>
  <si>
    <t>Se valida con el indicador de impuestos asumidos del  motivo. Debe ser 0=No liquida; 1=Asume compañía, 2=Asume cliente.</t>
  </si>
  <si>
    <t>Notas</t>
  </si>
  <si>
    <t>Notas del movimiento</t>
  </si>
  <si>
    <t>Descripcion</t>
  </si>
  <si>
    <t>Descripcion del movimiento</t>
  </si>
  <si>
    <t>Indicador backorder del movimiento</t>
  </si>
  <si>
    <t>0=Disponible y lo demás pendiente, 1=Disponible y lo demás cancele, 5=por linea. Si f430_ind_backorder es diferente de 5 entonces f431_ind_backorder debe ser 5.</t>
  </si>
  <si>
    <t>Indicador de precio</t>
  </si>
  <si>
    <t>0=Reliquida precio con lista de precio del cliente 1=Liquida precio con lista de precio del registro 2=Liquida con precio del registro.</t>
  </si>
  <si>
    <t>091</t>
  </si>
  <si>
    <t>009</t>
  </si>
  <si>
    <t xml:space="preserve">3026-PLUS                                         </t>
  </si>
  <si>
    <t xml:space="preserve">AZUL MEDIO          </t>
  </si>
  <si>
    <t xml:space="preserve">AZUL OSCURO         </t>
  </si>
  <si>
    <t xml:space="preserve">AZUL REY            </t>
  </si>
  <si>
    <t xml:space="preserve">GRIS JASPE OSCURO   </t>
  </si>
  <si>
    <t xml:space="preserve">NEGRO               </t>
  </si>
  <si>
    <t xml:space="preserve">ROJO                </t>
  </si>
  <si>
    <t xml:space="preserve">ROJO MEDITERRANEO   </t>
  </si>
  <si>
    <t xml:space="preserve">VERDE OSCURO        </t>
  </si>
  <si>
    <t xml:space="preserve">3189-2                                            </t>
  </si>
  <si>
    <t xml:space="preserve">DUO 1               </t>
  </si>
  <si>
    <t xml:space="preserve">DUO 3               </t>
  </si>
  <si>
    <t xml:space="preserve">DUO 4               </t>
  </si>
  <si>
    <t xml:space="preserve">DUO 6               </t>
  </si>
  <si>
    <t xml:space="preserve">DUO 2               </t>
  </si>
  <si>
    <t xml:space="preserve">DUO 5               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</si>
  <si>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</si>
  <si>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</si>
  <si>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</si>
  <si>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</si>
  <si>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</si>
  <si>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</si>
  <si>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</si>
  <si>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</si>
  <si>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</si>
  <si>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</si>
  <si>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</si>
  <si>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</si>
  <si>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</si>
  <si>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</si>
  <si>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G</t>
  </si>
  <si>
    <t xml:space="preserve">8104-U                                            </t>
  </si>
  <si>
    <t xml:space="preserve">3089-2                                            </t>
  </si>
  <si>
    <t xml:space="preserve">GRIS JASPE CLARO    </t>
  </si>
  <si>
    <t xml:space="preserve">VERDE MEDIO         </t>
  </si>
  <si>
    <t xml:space="preserve">BLANCO              </t>
  </si>
  <si>
    <t xml:space="preserve">MARFIL              </t>
  </si>
  <si>
    <t xml:space="preserve">ROSA CLARO          </t>
  </si>
  <si>
    <t xml:space="preserve">PIEL                </t>
  </si>
  <si>
    <t>L</t>
  </si>
  <si>
    <t>M</t>
  </si>
  <si>
    <t>S</t>
  </si>
  <si>
    <t>XL</t>
  </si>
  <si>
    <t>XXL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</si>
  <si>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</si>
  <si>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</si>
  <si>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</si>
  <si>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</si>
  <si>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</si>
  <si>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</si>
  <si>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</si>
  <si>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</si>
  <si>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</si>
  <si>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</si>
  <si>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</si>
  <si>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</si>
  <si>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</si>
  <si>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</si>
  <si>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</si>
  <si>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</si>
  <si>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</si>
  <si>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</si>
  <si>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</si>
  <si>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</si>
  <si>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</si>
  <si>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</si>
  <si>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</si>
  <si>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</si>
  <si>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</si>
  <si>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</si>
  <si>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</si>
  <si>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</si>
  <si>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</si>
  <si>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</si>
  <si>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</si>
  <si>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</si>
  <si>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</si>
  <si>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</si>
  <si>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</si>
  <si>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</si>
  <si>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</si>
  <si>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</si>
  <si>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</si>
  <si>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</si>
  <si>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</si>
  <si>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</si>
  <si>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</si>
  <si>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</si>
  <si>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</si>
  <si>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</si>
  <si>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</si>
  <si>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</si>
  <si>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</si>
  <si>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</si>
  <si>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</si>
  <si>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</si>
  <si>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</si>
  <si>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</si>
  <si>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</si>
  <si>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</si>
  <si>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</si>
  <si>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</si>
  <si>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</si>
  <si>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</si>
  <si>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</si>
  <si>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</si>
  <si>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</si>
  <si>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</si>
  <si>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</si>
  <si>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</si>
  <si>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</si>
  <si>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</si>
  <si>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</si>
  <si>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</si>
  <si>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</si>
  <si>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</si>
  <si>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</si>
  <si>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</si>
  <si>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</si>
  <si>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</si>
  <si>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</si>
  <si>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</si>
  <si>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</si>
  <si>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</si>
  <si>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</si>
  <si>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</si>
  <si>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</si>
  <si>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</si>
  <si>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</si>
  <si>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</si>
  <si>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</si>
  <si>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</si>
  <si>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</si>
  <si>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</si>
  <si>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</si>
  <si>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</si>
  <si>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</si>
  <si>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</si>
  <si>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</si>
  <si>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</si>
  <si>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</si>
  <si>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</si>
  <si>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</si>
  <si>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</si>
  <si>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</si>
  <si>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</si>
  <si>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</si>
  <si>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</si>
  <si>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</si>
  <si>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</si>
  <si>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</si>
  <si>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</si>
  <si>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</si>
  <si>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</si>
  <si>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</si>
  <si>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</si>
  <si>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</si>
  <si>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</si>
  <si>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</si>
  <si>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</si>
  <si>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</si>
  <si>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</si>
  <si>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</si>
  <si>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 xml:space="preserve">5039-K-2                                          </t>
  </si>
  <si>
    <t xml:space="preserve">5039-J-2                                          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</si>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</sst>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00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/>
      <top style="thin">
        <color rgb="FFD0D7E5"/>
      </top>
      <bottom style="thin">
        <color rgb="FFD0D7E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2">
    <xf numFmtId="0" fontId="0" fillId="0" borderId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7" fillId="21" borderId="0" applyNumberFormat="0" applyBorder="0" applyAlignment="0" applyProtection="0"/>
    <xf numFmtId="0" fontId="18" fillId="22" borderId="2" applyNumberFormat="0" applyAlignment="0" applyProtection="0"/>
    <xf numFmtId="0" fontId="19" fillId="23" borderId="3" applyNumberFormat="0" applyAlignment="0" applyProtection="0"/>
    <xf numFmtId="0" fontId="20" fillId="0" borderId="4" applyNumberFormat="0" applyFill="0" applyAlignment="0" applyProtection="0"/>
    <xf numFmtId="0" fontId="21" fillId="0" borderId="0" applyNumberFormat="0" applyFill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22" fillId="30" borderId="2" applyNumberFormat="0" applyAlignment="0" applyProtection="0"/>
    <xf numFmtId="0" fontId="23" fillId="31" borderId="0" applyNumberFormat="0" applyBorder="0" applyAlignment="0" applyProtection="0"/>
    <xf numFmtId="0" fontId="24" fillId="32" borderId="0" applyNumberFormat="0" applyBorder="0" applyAlignment="0" applyProtection="0"/>
    <xf numFmtId="0" fontId="15" fillId="0" borderId="0"/>
    <xf numFmtId="0" fontId="15" fillId="33" borderId="5" applyNumberFormat="0" applyFont="0" applyAlignment="0" applyProtection="0"/>
    <xf numFmtId="0" fontId="25" fillId="22" borderId="6" applyNumberFormat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7" applyNumberFormat="0" applyFill="0" applyAlignment="0" applyProtection="0"/>
    <xf numFmtId="0" fontId="30" fillId="0" borderId="8" applyNumberFormat="0" applyFill="0" applyAlignment="0" applyProtection="0"/>
    <xf numFmtId="0" fontId="21" fillId="0" borderId="9" applyNumberFormat="0" applyFill="0" applyAlignment="0" applyProtection="0"/>
    <xf numFmtId="0" fontId="31" fillId="0" borderId="10" applyNumberFormat="0" applyFill="0" applyAlignment="0" applyProtection="0"/>
    <xf numFmtId="0" fontId="11" fillId="0" borderId="0"/>
    <xf numFmtId="0" fontId="10" fillId="0" borderId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0" borderId="0"/>
    <xf numFmtId="0" fontId="9" fillId="33" borderId="5" applyNumberFormat="0" applyFont="0" applyAlignment="0" applyProtection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32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0" borderId="0"/>
    <xf numFmtId="0" fontId="5" fillId="33" borderId="5" applyNumberFormat="0" applyFont="0" applyAlignment="0" applyProtection="0"/>
    <xf numFmtId="0" fontId="5" fillId="0" borderId="0"/>
    <xf numFmtId="0" fontId="5" fillId="0" borderId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0" borderId="0"/>
    <xf numFmtId="0" fontId="5" fillId="33" borderId="5" applyNumberFormat="0" applyFont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2" fillId="0" borderId="0"/>
    <xf numFmtId="0" fontId="5" fillId="0" borderId="0"/>
  </cellStyleXfs>
  <cellXfs count="79">
    <xf numFmtId="0" fontId="0" fillId="0" borderId="0" xfId="0"/>
    <xf numFmtId="49" fontId="0" fillId="0" borderId="0" xfId="0" applyNumberFormat="1" applyProtection="1">
      <protection locked="0"/>
    </xf>
    <xf numFmtId="49" fontId="0" fillId="0" borderId="0" xfId="0" applyNumberFormat="1"/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13" fillId="0" borderId="0" xfId="0" applyNumberFormat="1" applyFont="1"/>
    <xf numFmtId="0" fontId="0" fillId="0" borderId="0" xfId="0" applyProtection="1">
      <protection locked="0"/>
    </xf>
    <xf numFmtId="49" fontId="0" fillId="0" borderId="0" xfId="0" quotePrefix="1" applyNumberFormat="1" applyProtection="1">
      <protection locked="0"/>
    </xf>
    <xf numFmtId="164" fontId="0" fillId="0" borderId="0" xfId="0" applyNumberFormat="1" applyProtection="1">
      <protection locked="0"/>
    </xf>
    <xf numFmtId="49" fontId="13" fillId="0" borderId="0" xfId="0" applyNumberFormat="1" applyFont="1" applyProtection="1">
      <protection locked="0"/>
    </xf>
    <xf numFmtId="0" fontId="13" fillId="2" borderId="1" xfId="0" applyFont="1" applyFill="1" applyBorder="1" applyAlignment="1">
      <alignment horizontal="center"/>
    </xf>
    <xf numFmtId="0" fontId="12" fillId="0" borderId="0" xfId="0" applyFont="1" applyProtection="1">
      <protection locked="0"/>
    </xf>
    <xf numFmtId="0" fontId="7" fillId="0" borderId="0" xfId="63"/>
    <xf numFmtId="0" fontId="13" fillId="2" borderId="1" xfId="0" applyFont="1" applyFill="1" applyBorder="1" applyAlignment="1">
      <alignment horizontal="center" vertical="center" wrapText="1"/>
    </xf>
    <xf numFmtId="0" fontId="0" fillId="2" borderId="0" xfId="0" applyFill="1" applyProtection="1">
      <protection locked="0"/>
    </xf>
    <xf numFmtId="0" fontId="0" fillId="2" borderId="11" xfId="0" applyFill="1" applyBorder="1" applyProtection="1">
      <protection locked="0"/>
    </xf>
    <xf numFmtId="49" fontId="12" fillId="0" borderId="0" xfId="0" quotePrefix="1" applyNumberFormat="1" applyFont="1"/>
    <xf numFmtId="49" fontId="7" fillId="0" borderId="0" xfId="63" applyNumberFormat="1"/>
    <xf numFmtId="49" fontId="12" fillId="0" borderId="0" xfId="0" applyNumberFormat="1" applyFont="1"/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right"/>
    </xf>
    <xf numFmtId="0" fontId="13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35" fillId="0" borderId="0" xfId="0" applyFont="1"/>
    <xf numFmtId="0" fontId="35" fillId="0" borderId="0" xfId="0" applyFont="1" applyAlignment="1">
      <alignment vertical="center"/>
    </xf>
    <xf numFmtId="0" fontId="35" fillId="0" borderId="0" xfId="0" applyFont="1" applyAlignment="1">
      <alignment vertical="center" wrapText="1"/>
    </xf>
    <xf numFmtId="0" fontId="35" fillId="0" borderId="0" xfId="0" applyFont="1" applyAlignment="1">
      <alignment horizontal="right" vertical="center"/>
    </xf>
    <xf numFmtId="0" fontId="36" fillId="34" borderId="14" xfId="0" applyFont="1" applyFill="1" applyBorder="1" applyAlignment="1">
      <alignment horizontal="center" vertical="center"/>
    </xf>
    <xf numFmtId="0" fontId="36" fillId="34" borderId="14" xfId="0" applyFont="1" applyFill="1" applyBorder="1" applyAlignment="1">
      <alignment horizontal="center" vertical="center" wrapText="1"/>
    </xf>
    <xf numFmtId="0" fontId="36" fillId="0" borderId="14" xfId="0" applyFont="1" applyBorder="1" applyAlignment="1">
      <alignment vertical="center"/>
    </xf>
    <xf numFmtId="0" fontId="35" fillId="0" borderId="14" xfId="0" applyFont="1" applyBorder="1" applyAlignment="1">
      <alignment vertical="center" wrapText="1"/>
    </xf>
    <xf numFmtId="0" fontId="35" fillId="0" borderId="14" xfId="0" applyFont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36" fillId="0" borderId="14" xfId="0" applyFont="1" applyBorder="1" applyAlignment="1">
      <alignment vertical="center" wrapText="1"/>
    </xf>
    <xf numFmtId="49" fontId="35" fillId="0" borderId="14" xfId="0" applyNumberFormat="1" applyFont="1" applyBorder="1" applyAlignment="1">
      <alignment vertical="center" wrapText="1"/>
    </xf>
    <xf numFmtId="0" fontId="36" fillId="0" borderId="14" xfId="0" applyFont="1" applyBorder="1"/>
    <xf numFmtId="0" fontId="35" fillId="0" borderId="0" xfId="0" applyFont="1" applyAlignment="1">
      <alignment horizontal="center" vertical="center"/>
    </xf>
    <xf numFmtId="49" fontId="35" fillId="0" borderId="0" xfId="0" applyNumberFormat="1" applyFont="1" applyAlignment="1">
      <alignment vertical="center" wrapText="1"/>
    </xf>
    <xf numFmtId="49" fontId="36" fillId="34" borderId="14" xfId="0" applyNumberFormat="1" applyFont="1" applyFill="1" applyBorder="1" applyAlignment="1">
      <alignment horizontal="center" vertical="center" wrapText="1"/>
    </xf>
    <xf numFmtId="0" fontId="36" fillId="0" borderId="0" xfId="0" applyFont="1" applyAlignment="1">
      <alignment vertical="center"/>
    </xf>
    <xf numFmtId="2" fontId="35" fillId="0" borderId="14" xfId="0" applyNumberFormat="1" applyFont="1" applyBorder="1" applyAlignment="1">
      <alignment vertical="center" wrapText="1"/>
    </xf>
    <xf numFmtId="0" fontId="36" fillId="0" borderId="0" xfId="0" applyFont="1"/>
    <xf numFmtId="0" fontId="13" fillId="37" borderId="1" xfId="0" applyFont="1" applyFill="1" applyBorder="1" applyAlignment="1">
      <alignment horizontal="center" vertical="center" wrapText="1"/>
    </xf>
    <xf numFmtId="1" fontId="0" fillId="0" borderId="0" xfId="0" applyNumberFormat="1"/>
    <xf numFmtId="49" fontId="13" fillId="37" borderId="1" xfId="0" applyNumberFormat="1" applyFont="1" applyFill="1" applyBorder="1" applyAlignment="1">
      <alignment horizontal="center" vertical="center" wrapText="1"/>
    </xf>
    <xf numFmtId="1" fontId="13" fillId="37" borderId="1" xfId="0" applyNumberFormat="1" applyFont="1" applyFill="1" applyBorder="1" applyAlignment="1">
      <alignment horizontal="center" vertical="center" wrapText="1"/>
    </xf>
    <xf numFmtId="0" fontId="13" fillId="37" borderId="1" xfId="0" applyFont="1" applyFill="1" applyBorder="1" applyAlignment="1">
      <alignment horizontal="center" wrapText="1"/>
    </xf>
    <xf numFmtId="0" fontId="13" fillId="37" borderId="1" xfId="0" applyFont="1" applyFill="1" applyBorder="1" applyAlignment="1">
      <alignment horizontal="center"/>
    </xf>
    <xf numFmtId="49" fontId="33" fillId="0" borderId="12" xfId="0" applyNumberFormat="1" applyFont="1" applyBorder="1" applyAlignment="1">
      <alignment horizontal="right" vertical="center" wrapText="1"/>
    </xf>
    <xf numFmtId="49" fontId="33" fillId="0" borderId="12" xfId="0" applyNumberFormat="1" applyFont="1" applyBorder="1" applyAlignment="1">
      <alignment vertical="center" wrapText="1"/>
    </xf>
    <xf numFmtId="49" fontId="33" fillId="0" borderId="13" xfId="0" applyNumberFormat="1" applyFont="1" applyBorder="1" applyAlignment="1">
      <alignment vertical="center" wrapText="1"/>
    </xf>
    <xf numFmtId="49" fontId="33" fillId="0" borderId="0" xfId="0" applyNumberFormat="1" applyFont="1" applyAlignment="1">
      <alignment vertical="center" wrapText="1"/>
    </xf>
    <xf numFmtId="49" fontId="12" fillId="0" borderId="0" xfId="0" applyNumberFormat="1" applyFont="1" applyAlignment="1">
      <alignment horizontal="right"/>
    </xf>
    <xf numFmtId="0" fontId="33" fillId="0" borderId="12" xfId="0" applyFont="1" applyBorder="1" applyAlignment="1">
      <alignment horizontal="right" vertical="center" wrapText="1"/>
    </xf>
    <xf numFmtId="0" fontId="12" fillId="0" borderId="0" xfId="120"/>
    <xf numFmtId="49" fontId="12" fillId="0" borderId="0" xfId="120" applyNumberFormat="1"/>
    <xf numFmtId="49" fontId="4" fillId="0" borderId="0" xfId="63" applyNumberFormat="1" applyFont="1"/>
    <xf numFmtId="165" fontId="12" fillId="0" borderId="0" xfId="0" applyNumberFormat="1" applyFont="1"/>
    <xf numFmtId="0" fontId="12" fillId="0" borderId="0" xfId="0" applyFont="1"/>
    <xf numFmtId="1" fontId="4" fillId="0" borderId="0" xfId="63" applyNumberFormat="1" applyFont="1"/>
    <xf numFmtId="0" fontId="4" fillId="0" borderId="0" xfId="63" applyFont="1" applyAlignment="1">
      <alignment horizontal="justify"/>
    </xf>
    <xf numFmtId="49" fontId="4" fillId="0" borderId="0" xfId="63" applyNumberFormat="1" applyFont="1" applyAlignment="1">
      <alignment horizontal="justify"/>
    </xf>
    <xf numFmtId="49" fontId="4" fillId="0" borderId="0" xfId="63" quotePrefix="1" applyNumberFormat="1" applyFont="1" applyAlignment="1">
      <alignment horizontal="justify"/>
    </xf>
    <xf numFmtId="49" fontId="35" fillId="0" borderId="0" xfId="0" applyNumberFormat="1" applyFont="1"/>
    <xf numFmtId="49" fontId="36" fillId="0" borderId="14" xfId="0" applyNumberFormat="1" applyFont="1" applyBorder="1" applyAlignment="1">
      <alignment vertical="center" wrapText="1"/>
    </xf>
    <xf numFmtId="49" fontId="3" fillId="0" borderId="0" xfId="63" applyNumberFormat="1" applyFont="1"/>
    <xf numFmtId="0" fontId="37" fillId="37" borderId="1" xfId="0" applyFont="1" applyFill="1" applyBorder="1" applyAlignment="1">
      <alignment horizontal="center" vertical="center" wrapText="1"/>
    </xf>
    <xf numFmtId="49" fontId="2" fillId="0" borderId="0" xfId="63" applyNumberFormat="1" applyFont="1" applyAlignment="1">
      <alignment horizontal="justify"/>
    </xf>
    <xf numFmtId="49" fontId="14" fillId="0" borderId="0" xfId="0" applyNumberFormat="1" applyFont="1" applyAlignment="1" applyProtection="1">
      <alignment horizontal="left"/>
      <protection locked="0"/>
    </xf>
    <xf numFmtId="0" fontId="3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6" fillId="35" borderId="14" xfId="0" applyFont="1" applyFill="1" applyBorder="1" applyAlignment="1">
      <alignment horizontal="center" vertical="center"/>
    </xf>
    <xf numFmtId="0" fontId="36" fillId="36" borderId="14" xfId="0" applyFont="1" applyFill="1" applyBorder="1" applyAlignment="1">
      <alignment vertical="center" wrapText="1"/>
    </xf>
    <xf numFmtId="0" fontId="13" fillId="36" borderId="14" xfId="0" applyFont="1" applyFill="1" applyBorder="1" applyAlignment="1">
      <alignment vertical="center" wrapText="1"/>
    </xf>
    <xf numFmtId="0" fontId="36" fillId="35" borderId="15" xfId="0" applyFont="1" applyFill="1" applyBorder="1" applyAlignment="1">
      <alignment horizontal="center" vertical="center"/>
    </xf>
    <xf numFmtId="0" fontId="36" fillId="35" borderId="16" xfId="0" applyFont="1" applyFill="1" applyBorder="1" applyAlignment="1">
      <alignment horizontal="center" vertical="center"/>
    </xf>
    <xf numFmtId="0" fontId="36" fillId="35" borderId="17" xfId="0" applyFont="1" applyFill="1" applyBorder="1" applyAlignment="1">
      <alignment horizontal="center" vertical="center"/>
    </xf>
    <xf numFmtId="49" fontId="1" fillId="0" borderId="0" xfId="63" applyNumberFormat="1" applyFont="1"/>
  </cellXfs>
  <cellStyles count="122">
    <cellStyle name="20% - Énfasis1" xfId="1" builtinId="30" customBuiltin="1"/>
    <cellStyle name="20% - Énfasis1 2" xfId="45" xr:uid="{00000000-0005-0000-0000-000001000000}"/>
    <cellStyle name="20% - Énfasis1 2 2" xfId="91" xr:uid="{48A4C9D8-4A61-4229-B00B-3C92A98A63AD}"/>
    <cellStyle name="20% - Énfasis1 3" xfId="75" xr:uid="{571F413E-7C68-4C9F-871B-742E3A1D90B8}"/>
    <cellStyle name="20% - Énfasis2" xfId="2" builtinId="34" customBuiltin="1"/>
    <cellStyle name="20% - Énfasis2 2" xfId="46" xr:uid="{00000000-0005-0000-0000-000003000000}"/>
    <cellStyle name="20% - Énfasis2 2 2" xfId="92" xr:uid="{7CB79707-DC1F-4AF8-8E8B-F70E4A8B9513}"/>
    <cellStyle name="20% - Énfasis2 3" xfId="76" xr:uid="{9D3AC589-3EF4-425E-BB14-B656F2613589}"/>
    <cellStyle name="20% - Énfasis3" xfId="3" builtinId="38" customBuiltin="1"/>
    <cellStyle name="20% - Énfasis3 2" xfId="47" xr:uid="{00000000-0005-0000-0000-000005000000}"/>
    <cellStyle name="20% - Énfasis3 2 2" xfId="93" xr:uid="{A87EA2DE-1E2A-4F37-A0A8-8B1ABF5138F9}"/>
    <cellStyle name="20% - Énfasis3 3" xfId="77" xr:uid="{E4A40524-40A5-449E-B31C-3D975B0F132F}"/>
    <cellStyle name="20% - Énfasis4" xfId="4" builtinId="42" customBuiltin="1"/>
    <cellStyle name="20% - Énfasis4 2" xfId="48" xr:uid="{00000000-0005-0000-0000-000007000000}"/>
    <cellStyle name="20% - Énfasis4 2 2" xfId="94" xr:uid="{02D412BC-D39A-4FDF-A6C4-210F97C21AB9}"/>
    <cellStyle name="20% - Énfasis4 3" xfId="78" xr:uid="{850BBF60-E3D7-43F4-B978-59E0F5A23722}"/>
    <cellStyle name="20% - Énfasis5" xfId="5" builtinId="46" customBuiltin="1"/>
    <cellStyle name="20% - Énfasis5 2" xfId="49" xr:uid="{00000000-0005-0000-0000-000009000000}"/>
    <cellStyle name="20% - Énfasis5 2 2" xfId="95" xr:uid="{5BA18255-A21F-4CA3-B18B-072F4FEBE465}"/>
    <cellStyle name="20% - Énfasis5 3" xfId="79" xr:uid="{CAFCAD1C-DD7F-446F-888A-BCFEF653775B}"/>
    <cellStyle name="20% - Énfasis6" xfId="6" builtinId="50" customBuiltin="1"/>
    <cellStyle name="20% - Énfasis6 2" xfId="50" xr:uid="{00000000-0005-0000-0000-00000B000000}"/>
    <cellStyle name="20% - Énfasis6 2 2" xfId="96" xr:uid="{3DC7700C-F1EA-414A-A11D-72CBDB3B0C3C}"/>
    <cellStyle name="20% - Énfasis6 3" xfId="80" xr:uid="{FA5C81C8-A857-419D-B9FB-3BBC0AE0727E}"/>
    <cellStyle name="40% - Énfasis1" xfId="7" builtinId="31" customBuiltin="1"/>
    <cellStyle name="40% - Énfasis1 2" xfId="51" xr:uid="{00000000-0005-0000-0000-00000D000000}"/>
    <cellStyle name="40% - Énfasis1 2 2" xfId="97" xr:uid="{08825EA3-1FF8-40BF-A95F-332F871ABA81}"/>
    <cellStyle name="40% - Énfasis1 3" xfId="81" xr:uid="{40424553-2E79-42BC-A439-31479D414BAB}"/>
    <cellStyle name="40% - Énfasis2" xfId="8" builtinId="35" customBuiltin="1"/>
    <cellStyle name="40% - Énfasis2 2" xfId="52" xr:uid="{00000000-0005-0000-0000-00000F000000}"/>
    <cellStyle name="40% - Énfasis2 2 2" xfId="98" xr:uid="{8581C111-F574-4200-A2B8-8650491A8BBE}"/>
    <cellStyle name="40% - Énfasis2 3" xfId="82" xr:uid="{C6117E47-4D4F-41D0-AE1D-ADAFD8437308}"/>
    <cellStyle name="40% - Énfasis3" xfId="9" builtinId="39" customBuiltin="1"/>
    <cellStyle name="40% - Énfasis3 2" xfId="53" xr:uid="{00000000-0005-0000-0000-000011000000}"/>
    <cellStyle name="40% - Énfasis3 2 2" xfId="99" xr:uid="{19C709C5-4132-41CD-B4E3-7424B508D67B}"/>
    <cellStyle name="40% - Énfasis3 3" xfId="83" xr:uid="{BE5AF61B-7F63-40C1-9A01-527A479184DD}"/>
    <cellStyle name="40% - Énfasis4" xfId="10" builtinId="43" customBuiltin="1"/>
    <cellStyle name="40% - Énfasis4 2" xfId="54" xr:uid="{00000000-0005-0000-0000-000013000000}"/>
    <cellStyle name="40% - Énfasis4 2 2" xfId="100" xr:uid="{C6A2FA02-CCA3-478D-A196-A97F93E7F697}"/>
    <cellStyle name="40% - Énfasis4 3" xfId="84" xr:uid="{8A46D657-619A-42D2-9502-A88097560A17}"/>
    <cellStyle name="40% - Énfasis5" xfId="11" builtinId="47" customBuiltin="1"/>
    <cellStyle name="40% - Énfasis5 2" xfId="55" xr:uid="{00000000-0005-0000-0000-000015000000}"/>
    <cellStyle name="40% - Énfasis5 2 2" xfId="101" xr:uid="{9473A3A9-EED2-423A-8C65-258DC91D5141}"/>
    <cellStyle name="40% - Énfasis5 3" xfId="85" xr:uid="{90BD0569-189D-44B9-BA2B-322CD802DC53}"/>
    <cellStyle name="40% - Énfasis6" xfId="12" builtinId="51" customBuiltin="1"/>
    <cellStyle name="40% - Énfasis6 2" xfId="56" xr:uid="{00000000-0005-0000-0000-000017000000}"/>
    <cellStyle name="40% - Énfasis6 2 2" xfId="102" xr:uid="{35F5F876-8D42-4AD4-8A2A-F99E999D735C}"/>
    <cellStyle name="40% - Énfasis6 3" xfId="86" xr:uid="{B2ED4611-CB70-466C-A588-B3743458065A}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39" builtinId="16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Neutral" xfId="32" builtinId="28" customBuiltin="1"/>
    <cellStyle name="Normal" xfId="0" builtinId="0"/>
    <cellStyle name="Normal 10" xfId="65" xr:uid="{00000000-0005-0000-0000-00002E000000}"/>
    <cellStyle name="Normal 10 2" xfId="111" xr:uid="{BA338BE6-32FE-4ADF-B88B-50D9A4F6FC28}"/>
    <cellStyle name="Normal 11" xfId="73" xr:uid="{00000000-0005-0000-0000-00002F000000}"/>
    <cellStyle name="Normal 11 2" xfId="118" xr:uid="{374938FC-251D-45ED-8F5F-282BEF41977C}"/>
    <cellStyle name="Normal 2" xfId="33" xr:uid="{00000000-0005-0000-0000-000030000000}"/>
    <cellStyle name="Normal 2 2" xfId="57" xr:uid="{00000000-0005-0000-0000-000031000000}"/>
    <cellStyle name="Normal 2 2 2" xfId="66" xr:uid="{00000000-0005-0000-0000-000032000000}"/>
    <cellStyle name="Normal 2 2 2 2" xfId="112" xr:uid="{705E4BB9-A1A2-48B1-A5AD-385F3232D0A1}"/>
    <cellStyle name="Normal 2 2 3" xfId="103" xr:uid="{720A08D4-64CA-4CEE-A092-68E1090E1A0B}"/>
    <cellStyle name="Normal 2 3" xfId="120" xr:uid="{AE30DDF9-AC31-4B16-A1ED-687671533C8F}"/>
    <cellStyle name="Normal 2 4" xfId="87" xr:uid="{B192B365-48C2-4DE0-B6F8-C0AB36AECA68}"/>
    <cellStyle name="Normal 3" xfId="43" xr:uid="{00000000-0005-0000-0000-000033000000}"/>
    <cellStyle name="Normal 3 2" xfId="59" xr:uid="{00000000-0005-0000-0000-000034000000}"/>
    <cellStyle name="Normal 3 2 2" xfId="68" xr:uid="{00000000-0005-0000-0000-000035000000}"/>
    <cellStyle name="Normal 3 2 2 2" xfId="113" xr:uid="{8D09ED1D-44EA-43D4-8A75-705E24F38FE3}"/>
    <cellStyle name="Normal 3 2 3" xfId="105" xr:uid="{7830E481-0C50-430C-9614-F3622A9E405D}"/>
    <cellStyle name="Normal 3 3" xfId="69" xr:uid="{00000000-0005-0000-0000-000036000000}"/>
    <cellStyle name="Normal 3 3 2" xfId="114" xr:uid="{837358D9-77D0-48EE-AD73-64F4C2E1231B}"/>
    <cellStyle name="Normal 3 4" xfId="74" xr:uid="{00000000-0005-0000-0000-000037000000}"/>
    <cellStyle name="Normal 3 4 2" xfId="119" xr:uid="{CF6B211A-CEE3-4BA5-97D4-D921C69FFEA1}"/>
    <cellStyle name="Normal 3 5" xfId="89" xr:uid="{C400F6D0-A5AA-41E8-BBC0-B37EAEDA049C}"/>
    <cellStyle name="Normal 4" xfId="44" xr:uid="{00000000-0005-0000-0000-000038000000}"/>
    <cellStyle name="Normal 4 2" xfId="60" xr:uid="{00000000-0005-0000-0000-000039000000}"/>
    <cellStyle name="Normal 4 2 2" xfId="106" xr:uid="{03BEE845-B395-4FE0-985A-F9657AEEBE32}"/>
    <cellStyle name="Normal 4 3" xfId="90" xr:uid="{DFC35427-B364-48ED-A07D-BE11CE314DE0}"/>
    <cellStyle name="Normal 5" xfId="62" xr:uid="{00000000-0005-0000-0000-00003A000000}"/>
    <cellStyle name="Normal 5 2" xfId="108" xr:uid="{F42B1BC2-E1F6-4759-80E5-6C1681FC9D25}"/>
    <cellStyle name="Normal 6" xfId="63" xr:uid="{00000000-0005-0000-0000-00003B000000}"/>
    <cellStyle name="Normal 6 2" xfId="70" xr:uid="{00000000-0005-0000-0000-00003C000000}"/>
    <cellStyle name="Normal 6 2 2" xfId="115" xr:uid="{0F297ABE-6D5B-48F4-BBFD-D57135430A74}"/>
    <cellStyle name="Normal 6 3" xfId="121" xr:uid="{C71D75C3-75F9-49DC-BD8C-1463C59412F5}"/>
    <cellStyle name="Normal 6 4" xfId="109" xr:uid="{8395E503-73BE-4D05-86E0-4B1612773FDE}"/>
    <cellStyle name="Normal 7" xfId="64" xr:uid="{00000000-0005-0000-0000-00003D000000}"/>
    <cellStyle name="Normal 7 2" xfId="71" xr:uid="{00000000-0005-0000-0000-00003E000000}"/>
    <cellStyle name="Normal 7 2 2" xfId="116" xr:uid="{2CAD9CC7-2A82-4660-A384-E93724B68DF8}"/>
    <cellStyle name="Normal 7 3" xfId="110" xr:uid="{1FDD16C3-5678-45CE-BBFD-1B615131CBA2}"/>
    <cellStyle name="Normal 8" xfId="67" xr:uid="{00000000-0005-0000-0000-00003F000000}"/>
    <cellStyle name="Normal 9" xfId="72" xr:uid="{00000000-0005-0000-0000-000040000000}"/>
    <cellStyle name="Normal 9 2" xfId="117" xr:uid="{C22DFEE9-CDDF-4CF3-B398-D4935472D5D0}"/>
    <cellStyle name="Notas 2" xfId="34" xr:uid="{00000000-0005-0000-0000-000041000000}"/>
    <cellStyle name="Notas 2 2" xfId="58" xr:uid="{00000000-0005-0000-0000-000042000000}"/>
    <cellStyle name="Notas 2 2 2" xfId="104" xr:uid="{FB40E2AE-6223-4A76-A926-8341F134508A}"/>
    <cellStyle name="Notas 2 3" xfId="88" xr:uid="{DD2DE4A2-F3E0-4B91-ACA6-F8B5D1C3D02A}"/>
    <cellStyle name="Porcentaje 2" xfId="61" xr:uid="{00000000-0005-0000-0000-000043000000}"/>
    <cellStyle name="Porcentaje 2 2" xfId="107" xr:uid="{02D5C5EF-70E1-497C-BEEA-BEBF4AD5C4B3}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40" builtinId="17" customBuiltin="1"/>
    <cellStyle name="Título 3" xfId="41" builtinId="18" customBuiltin="1"/>
    <cellStyle name="Total" xfId="42" builtinId="25" customBuiltin="1"/>
  </cellStyles>
  <dxfs count="0"/>
  <tableStyles count="0" defaultTableStyle="TableStyleMedium9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6</xdr:row>
      <xdr:rowOff>19050</xdr:rowOff>
    </xdr:from>
    <xdr:to>
      <xdr:col>1</xdr:col>
      <xdr:colOff>38100</xdr:colOff>
      <xdr:row>7</xdr:row>
      <xdr:rowOff>57150</xdr:rowOff>
    </xdr:to>
    <xdr:sp macro="" textlink="">
      <xdr:nvSpPr>
        <xdr:cNvPr id="29962" name="Text Box 20">
          <a:extLst>
            <a:ext uri="{FF2B5EF4-FFF2-40B4-BE49-F238E27FC236}">
              <a16:creationId xmlns:a16="http://schemas.microsoft.com/office/drawing/2014/main" id="{00000000-0008-0000-0000-00000A750000}"/>
            </a:ext>
          </a:extLst>
        </xdr:cNvPr>
        <xdr:cNvSpPr txBox="1">
          <a:spLocks noChangeArrowheads="1"/>
        </xdr:cNvSpPr>
      </xdr:nvSpPr>
      <xdr:spPr bwMode="auto">
        <a:xfrm>
          <a:off x="295275" y="9906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</xdr:row>
      <xdr:rowOff>66675</xdr:rowOff>
    </xdr:from>
    <xdr:to>
      <xdr:col>9</xdr:col>
      <xdr:colOff>104775</xdr:colOff>
      <xdr:row>33</xdr:row>
      <xdr:rowOff>114300</xdr:rowOff>
    </xdr:to>
    <xdr:sp macro="" textlink="">
      <xdr:nvSpPr>
        <xdr:cNvPr id="1045" name="Text Box 2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 txBox="1">
          <a:spLocks noChangeArrowheads="1"/>
        </xdr:cNvSpPr>
      </xdr:nvSpPr>
      <xdr:spPr bwMode="auto">
        <a:xfrm>
          <a:off x="342900" y="228600"/>
          <a:ext cx="5448300" cy="5229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ES" sz="1200" b="1" i="0" strike="noStrike">
              <a:solidFill>
                <a:srgbClr val="000000"/>
              </a:solidFill>
              <a:latin typeface="Bookman Old Style"/>
            </a:rPr>
            <a:t>GENERADOR DE ARCHIVOS PLANOS</a:t>
          </a:r>
        </a:p>
        <a:p>
          <a:pPr algn="l" rtl="0">
            <a:defRPr sz="1000"/>
          </a:pPr>
          <a:endParaRPr lang="es-ES" sz="1200" b="1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La presente Hoja Electronica, tiene como proposito la generacion de archivos planos (archivo.txt).</a:t>
          </a:r>
        </a:p>
        <a:p>
          <a:pPr algn="l" rtl="0">
            <a:defRPr sz="1000"/>
          </a:pPr>
          <a:endParaRPr lang="es-ES" sz="1200" b="0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En las hojas que continen la informacion, la primera fila corresponde al nombre del campo, la segunda fila corresponde al tipo de campo "Num" = Numerico y "Alf" = Alfabetico, la tercera fila corresponde a la longitud del campo.</a:t>
          </a:r>
        </a:p>
        <a:p>
          <a:pPr algn="l" rtl="0">
            <a:defRPr sz="1000"/>
          </a:pPr>
          <a:endParaRPr lang="es-ES" sz="1200" b="0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Si el campo esta marcado como "Num", su alineacion en el archivo plano sera a la derecha y se rellena con ceros, si el campo esta marcado como "Alf", su alineacion en el archivo plano sera a la izquierda.</a:t>
          </a:r>
        </a:p>
        <a:p>
          <a:pPr algn="l" rtl="0">
            <a:defRPr sz="1000"/>
          </a:pPr>
          <a:endParaRPr lang="es-ES" sz="1200" b="0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En el caso en que el tamaño de la informacion contenida en cada celda, exceda el tamaño del campo se generara un error, y se generara parcialmente el archivo plano, hasta donde se encontro el error, situacion que debe ser corregida en la hoja electronica y nuevamente proceder a generar el archivo plano.</a:t>
          </a:r>
        </a:p>
        <a:p>
          <a:pPr algn="l" rtl="0">
            <a:defRPr sz="1000"/>
          </a:pP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Los Campos (columnas)marcados con color </a:t>
          </a:r>
          <a:r>
            <a:rPr lang="es-ES" sz="1200" b="0" i="0" strike="noStrike">
              <a:solidFill>
                <a:srgbClr val="FFFF00"/>
              </a:solidFill>
              <a:latin typeface="Bookman Old Style"/>
            </a:rPr>
            <a:t>XXXXX</a:t>
          </a: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 Son Fijos</a:t>
          </a:r>
        </a:p>
        <a:p>
          <a:pPr algn="l" rtl="0">
            <a:defRPr sz="1000"/>
          </a:pPr>
          <a:endParaRPr lang="es-ES" sz="1200" b="0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endParaRPr lang="es-ES" sz="1200" b="0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r>
            <a:rPr lang="es-ES" sz="1200" b="1" i="0" strike="noStrike">
              <a:solidFill>
                <a:srgbClr val="000000"/>
              </a:solidFill>
              <a:latin typeface="Bookman Old Style"/>
            </a:rPr>
            <a:t>NOMBRE APELLIDO</a:t>
          </a:r>
        </a:p>
        <a:p>
          <a:pPr algn="l" rtl="0">
            <a:defRPr sz="1000"/>
          </a:pPr>
          <a:r>
            <a:rPr lang="es-ES" sz="1200" b="1" i="0" strike="noStrike">
              <a:solidFill>
                <a:srgbClr val="000000"/>
              </a:solidFill>
              <a:latin typeface="Bookman Old Style"/>
            </a:rPr>
            <a:t>email: XXXXX -XXXXX@hotmail.com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133350</xdr:rowOff>
        </xdr:from>
        <xdr:to>
          <xdr:col>12</xdr:col>
          <xdr:colOff>76200</xdr:colOff>
          <xdr:row>2</xdr:row>
          <xdr:rowOff>123825</xdr:rowOff>
        </xdr:to>
        <xdr:sp macro="" textlink="">
          <xdr:nvSpPr>
            <xdr:cNvPr id="1025" name="XM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352426</xdr:colOff>
      <xdr:row>0</xdr:row>
      <xdr:rowOff>57150</xdr:rowOff>
    </xdr:from>
    <xdr:to>
      <xdr:col>1</xdr:col>
      <xdr:colOff>371476</xdr:colOff>
      <xdr:row>5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6" y="57150"/>
          <a:ext cx="156210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0</xdr:row>
      <xdr:rowOff>57150</xdr:rowOff>
    </xdr:from>
    <xdr:to>
      <xdr:col>0</xdr:col>
      <xdr:colOff>1885950</xdr:colOff>
      <xdr:row>5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57150"/>
          <a:ext cx="1533525" cy="84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100"/>
  <sheetViews>
    <sheetView zoomScaleNormal="100" workbookViewId="0">
      <selection activeCell="M2" sqref="M2"/>
    </sheetView>
  </sheetViews>
  <sheetFormatPr baseColWidth="10" defaultColWidth="11.42578125" defaultRowHeight="12.75" x14ac:dyDescent="0.2"/>
  <cols>
    <col min="1" max="1" width="5" style="1" bestFit="1" customWidth="1"/>
    <col min="2" max="2" width="7.140625" style="1" bestFit="1" customWidth="1"/>
    <col min="3" max="3" width="7.85546875" style="1" bestFit="1" customWidth="1"/>
    <col min="4" max="4" width="7.28515625" style="1" bestFit="1" customWidth="1"/>
    <col min="5" max="5" width="9.28515625" style="1" bestFit="1" customWidth="1"/>
    <col min="6" max="6" width="18.42578125" style="1" bestFit="1" customWidth="1"/>
    <col min="7" max="8" width="10.140625" style="1" bestFit="1" customWidth="1"/>
    <col min="9" max="9" width="10" style="1" bestFit="1" customWidth="1"/>
    <col min="10" max="10" width="8.140625" style="1" bestFit="1" customWidth="1"/>
    <col min="11" max="11" width="11.42578125" style="1" customWidth="1"/>
    <col min="12" max="16384" width="11.42578125" style="1"/>
  </cols>
  <sheetData>
    <row r="1" spans="1:10" s="2" customFormat="1" x14ac:dyDescent="0.2">
      <c r="A1" s="5"/>
      <c r="B1" s="5"/>
      <c r="C1" s="5"/>
      <c r="D1" s="5"/>
      <c r="E1" s="5"/>
      <c r="F1" s="5"/>
      <c r="G1" s="5"/>
      <c r="H1" s="5"/>
      <c r="I1" s="5"/>
      <c r="J1" s="5"/>
    </row>
    <row r="2" spans="1:10" x14ac:dyDescent="0.2">
      <c r="A2" s="6"/>
      <c r="B2" s="6"/>
      <c r="C2" s="6"/>
      <c r="D2" s="6"/>
      <c r="E2" s="6"/>
      <c r="I2" s="6"/>
      <c r="J2" s="6"/>
    </row>
    <row r="3" spans="1:10" x14ac:dyDescent="0.2">
      <c r="A3" s="7"/>
      <c r="F3" s="8"/>
    </row>
    <row r="9" spans="1:10" x14ac:dyDescent="0.2">
      <c r="A9" s="9"/>
      <c r="B9" s="9"/>
      <c r="C9" s="9"/>
    </row>
    <row r="10" spans="1:10" x14ac:dyDescent="0.2">
      <c r="B10" s="68"/>
      <c r="C10" s="68"/>
      <c r="D10" s="68"/>
      <c r="E10" s="68"/>
      <c r="F10" s="68"/>
      <c r="G10" s="68"/>
    </row>
    <row r="11" spans="1:10" x14ac:dyDescent="0.2">
      <c r="B11" s="68"/>
      <c r="C11" s="68"/>
      <c r="D11" s="68"/>
      <c r="E11" s="68"/>
      <c r="F11" s="68"/>
      <c r="G11" s="68"/>
    </row>
    <row r="12" spans="1:10" x14ac:dyDescent="0.2">
      <c r="B12" s="68"/>
      <c r="C12" s="68"/>
      <c r="D12" s="68"/>
      <c r="E12" s="68"/>
      <c r="F12" s="68"/>
      <c r="G12" s="68"/>
    </row>
    <row r="13" spans="1:10" x14ac:dyDescent="0.2">
      <c r="B13" s="68"/>
      <c r="C13" s="68"/>
      <c r="D13" s="68"/>
      <c r="E13" s="68"/>
      <c r="F13" s="68"/>
      <c r="G13" s="68"/>
    </row>
    <row r="14" spans="1:10" x14ac:dyDescent="0.2">
      <c r="B14" s="68"/>
      <c r="C14" s="68"/>
      <c r="D14" s="68"/>
      <c r="E14" s="68"/>
      <c r="F14" s="68"/>
      <c r="G14" s="68"/>
    </row>
    <row r="15" spans="1:10" x14ac:dyDescent="0.2">
      <c r="B15" s="68"/>
      <c r="C15" s="68"/>
      <c r="D15" s="68"/>
      <c r="E15" s="68"/>
      <c r="F15" s="68"/>
      <c r="G15" s="68"/>
    </row>
    <row r="16" spans="1:10" x14ac:dyDescent="0.2">
      <c r="A16" s="3"/>
      <c r="B16" s="3"/>
      <c r="C16" s="3"/>
      <c r="D16" s="3"/>
      <c r="E16" s="3"/>
      <c r="F16" s="3"/>
      <c r="G16" s="3"/>
      <c r="H16" s="3"/>
      <c r="I16" s="3"/>
      <c r="J16" s="3"/>
    </row>
    <row r="17" spans="1:13" x14ac:dyDescent="0.2">
      <c r="A17" s="3"/>
      <c r="B17" s="3"/>
      <c r="C17" s="3"/>
      <c r="D17" s="3"/>
      <c r="E17" s="3"/>
      <c r="F17" s="3"/>
      <c r="G17" s="3"/>
      <c r="H17" s="3"/>
      <c r="I17" s="3"/>
      <c r="J17" s="3"/>
    </row>
    <row r="18" spans="1:13" x14ac:dyDescent="0.2">
      <c r="A18" s="3"/>
      <c r="B18" s="3"/>
      <c r="C18" s="3"/>
      <c r="D18" s="3"/>
      <c r="E18" s="3"/>
      <c r="F18" s="3"/>
      <c r="G18" s="3"/>
      <c r="H18" s="3"/>
      <c r="I18" s="3"/>
      <c r="J18" s="3"/>
    </row>
    <row r="19" spans="1:13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M19" s="11"/>
    </row>
    <row r="20" spans="1:13" x14ac:dyDescent="0.2">
      <c r="A20" s="3"/>
      <c r="B20" s="3"/>
      <c r="C20" s="3"/>
      <c r="D20" s="3"/>
      <c r="E20" s="3"/>
      <c r="F20" s="3"/>
      <c r="G20" s="3"/>
      <c r="H20" s="3"/>
      <c r="I20" s="3"/>
      <c r="J20" s="3"/>
    </row>
    <row r="21" spans="1:13" x14ac:dyDescent="0.2">
      <c r="A21" s="3"/>
      <c r="B21" s="3"/>
      <c r="C21" s="3"/>
      <c r="D21" s="3"/>
      <c r="E21" s="3"/>
      <c r="F21" s="3"/>
      <c r="G21" s="3"/>
      <c r="H21" s="3"/>
      <c r="I21" s="3"/>
      <c r="J21" s="3"/>
    </row>
    <row r="22" spans="1:13" x14ac:dyDescent="0.2">
      <c r="A22" s="3"/>
      <c r="B22" s="3"/>
      <c r="C22" s="3"/>
      <c r="D22" s="3"/>
      <c r="E22" s="3"/>
      <c r="F22" s="3"/>
      <c r="G22" s="3"/>
      <c r="H22" s="3"/>
      <c r="I22" s="3"/>
      <c r="J22" s="3"/>
    </row>
    <row r="23" spans="1:13" x14ac:dyDescent="0.2">
      <c r="A23" s="3"/>
      <c r="B23" s="3"/>
      <c r="C23" s="3"/>
      <c r="D23" s="3"/>
      <c r="E23" s="3"/>
      <c r="F23" s="4"/>
      <c r="G23" s="3"/>
      <c r="H23" s="3"/>
      <c r="I23" s="3"/>
      <c r="J23" s="3"/>
    </row>
    <row r="24" spans="1:13" x14ac:dyDescent="0.2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3" x14ac:dyDescent="0.2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3" x14ac:dyDescent="0.2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3" x14ac:dyDescent="0.2">
      <c r="A27" s="3"/>
      <c r="B27" s="3"/>
      <c r="C27" s="3"/>
      <c r="D27" s="3"/>
      <c r="E27" s="3"/>
      <c r="F27" s="3"/>
      <c r="G27" s="3"/>
      <c r="H27" s="3"/>
      <c r="I27" s="3"/>
      <c r="J27" s="3"/>
    </row>
    <row r="28" spans="1:13" x14ac:dyDescent="0.2">
      <c r="A28" s="3"/>
      <c r="B28" s="3"/>
      <c r="C28" s="3"/>
      <c r="D28" s="3"/>
      <c r="E28" s="3"/>
      <c r="F28" s="3"/>
      <c r="G28" s="3"/>
      <c r="H28" s="3"/>
      <c r="I28" s="3"/>
      <c r="J28" s="3"/>
    </row>
    <row r="29" spans="1:13" x14ac:dyDescent="0.2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3" x14ac:dyDescent="0.2">
      <c r="A30" s="3"/>
      <c r="B30" s="3"/>
      <c r="C30" s="3"/>
      <c r="D30" s="3"/>
      <c r="E30" s="3"/>
      <c r="F30" s="3"/>
      <c r="G30" s="3"/>
      <c r="H30" s="3"/>
      <c r="I30" s="3"/>
      <c r="J30" s="3"/>
    </row>
    <row r="31" spans="1:13" x14ac:dyDescent="0.2">
      <c r="A31" s="3"/>
      <c r="B31" s="3"/>
      <c r="C31" s="3"/>
      <c r="D31" s="3"/>
      <c r="E31" s="3"/>
      <c r="F31" s="3"/>
      <c r="G31" s="3"/>
      <c r="H31" s="3"/>
      <c r="I31" s="3"/>
      <c r="J31" s="3"/>
    </row>
    <row r="32" spans="1:13" x14ac:dyDescent="0.2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2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2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2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2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2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2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2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2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2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2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2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 x14ac:dyDescent="0.2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spans="1:10" x14ac:dyDescent="0.2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spans="1:10" x14ac:dyDescent="0.2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spans="1:10" x14ac:dyDescent="0.2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spans="1:10" x14ac:dyDescent="0.2">
      <c r="A50" s="3"/>
      <c r="B50" s="3"/>
      <c r="C50" s="3"/>
      <c r="D50" s="3"/>
      <c r="E50" s="3"/>
      <c r="F50" s="3"/>
      <c r="G50" s="3"/>
      <c r="H50" s="3"/>
      <c r="I50" s="3"/>
      <c r="J50" s="3"/>
    </row>
    <row r="51" spans="1:10" x14ac:dyDescent="0.2">
      <c r="A51" s="3"/>
      <c r="B51" s="3"/>
      <c r="C51" s="3"/>
      <c r="D51" s="3"/>
      <c r="E51" s="3"/>
      <c r="F51" s="3"/>
      <c r="G51" s="3"/>
      <c r="H51" s="3"/>
      <c r="I51" s="3"/>
      <c r="J51" s="3"/>
    </row>
    <row r="52" spans="1:10" x14ac:dyDescent="0.2">
      <c r="A52" s="3"/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2">
      <c r="A53" s="3"/>
      <c r="B53" s="3"/>
      <c r="C53" s="3"/>
      <c r="D53" s="3"/>
      <c r="E53" s="3"/>
      <c r="F53" s="3"/>
      <c r="G53" s="3"/>
      <c r="H53" s="3"/>
      <c r="I53" s="3"/>
      <c r="J53" s="3"/>
    </row>
    <row r="54" spans="1:10" x14ac:dyDescent="0.2">
      <c r="A54" s="3"/>
      <c r="B54" s="3"/>
      <c r="C54" s="3"/>
      <c r="D54" s="3"/>
      <c r="E54" s="3"/>
      <c r="F54" s="3"/>
      <c r="G54" s="3"/>
      <c r="H54" s="3"/>
      <c r="I54" s="3"/>
      <c r="J54" s="3"/>
    </row>
    <row r="55" spans="1:10" x14ac:dyDescent="0.2">
      <c r="A55" s="3"/>
      <c r="B55" s="3"/>
      <c r="C55" s="3"/>
      <c r="D55" s="3"/>
      <c r="E55" s="3"/>
      <c r="F55" s="3"/>
      <c r="G55" s="3"/>
      <c r="H55" s="3"/>
      <c r="I55" s="3"/>
      <c r="J55" s="3"/>
    </row>
    <row r="56" spans="1:10" x14ac:dyDescent="0.2">
      <c r="A56" s="3"/>
      <c r="B56" s="3"/>
      <c r="C56" s="3"/>
      <c r="D56" s="3"/>
      <c r="E56" s="3"/>
      <c r="F56" s="3"/>
      <c r="G56" s="3"/>
      <c r="H56" s="3"/>
      <c r="I56" s="3"/>
      <c r="J56" s="3"/>
    </row>
    <row r="57" spans="1:10" x14ac:dyDescent="0.2">
      <c r="A57" s="3"/>
      <c r="B57" s="3"/>
      <c r="C57" s="3"/>
      <c r="D57" s="3"/>
      <c r="E57" s="3"/>
      <c r="F57" s="3"/>
      <c r="G57" s="3"/>
      <c r="H57" s="3"/>
      <c r="I57" s="3"/>
      <c r="J57" s="3"/>
    </row>
    <row r="58" spans="1:10" x14ac:dyDescent="0.2">
      <c r="A58" s="3"/>
      <c r="B58" s="3"/>
      <c r="C58" s="3"/>
      <c r="D58" s="3"/>
      <c r="E58" s="3"/>
      <c r="F58" s="3"/>
      <c r="G58" s="3"/>
      <c r="H58" s="3"/>
      <c r="I58" s="3"/>
      <c r="J58" s="3"/>
    </row>
    <row r="59" spans="1:10" x14ac:dyDescent="0.2">
      <c r="A59" s="3"/>
      <c r="B59" s="3"/>
      <c r="C59" s="3"/>
      <c r="D59" s="3"/>
      <c r="E59" s="3"/>
      <c r="F59" s="3"/>
      <c r="G59" s="3"/>
      <c r="H59" s="3"/>
      <c r="I59" s="3"/>
      <c r="J59" s="3"/>
    </row>
    <row r="60" spans="1:10" x14ac:dyDescent="0.2">
      <c r="A60" s="3"/>
      <c r="B60" s="3"/>
      <c r="C60" s="3"/>
      <c r="D60" s="3"/>
      <c r="E60" s="3"/>
      <c r="F60" s="3"/>
      <c r="G60" s="3"/>
      <c r="H60" s="3"/>
      <c r="I60" s="3"/>
      <c r="J60" s="3"/>
    </row>
    <row r="61" spans="1:10" x14ac:dyDescent="0.2">
      <c r="A61" s="3"/>
      <c r="B61" s="3"/>
      <c r="C61" s="3"/>
      <c r="D61" s="3"/>
      <c r="E61" s="3"/>
      <c r="F61" s="3"/>
      <c r="G61" s="3"/>
      <c r="H61" s="3"/>
      <c r="I61" s="3"/>
      <c r="J61" s="3"/>
    </row>
    <row r="62" spans="1:10" x14ac:dyDescent="0.2">
      <c r="A62" s="3"/>
      <c r="B62" s="3"/>
      <c r="C62" s="3"/>
      <c r="D62" s="3"/>
      <c r="E62" s="3"/>
      <c r="F62" s="3"/>
      <c r="G62" s="3"/>
      <c r="H62" s="3"/>
      <c r="I62" s="3"/>
      <c r="J62" s="3"/>
    </row>
    <row r="63" spans="1:10" x14ac:dyDescent="0.2">
      <c r="A63" s="3"/>
      <c r="B63" s="3"/>
      <c r="C63" s="3"/>
      <c r="D63" s="3"/>
      <c r="E63" s="3"/>
      <c r="F63" s="3"/>
      <c r="G63" s="3"/>
      <c r="H63" s="3"/>
      <c r="I63" s="3"/>
      <c r="J63" s="3"/>
    </row>
    <row r="64" spans="1:10" x14ac:dyDescent="0.2">
      <c r="A64" s="3"/>
      <c r="B64" s="3"/>
      <c r="C64" s="3"/>
      <c r="D64" s="3"/>
      <c r="E64" s="3"/>
      <c r="F64" s="3"/>
      <c r="G64" s="3"/>
      <c r="H64" s="3"/>
      <c r="I64" s="3"/>
      <c r="J64" s="3"/>
    </row>
    <row r="65" spans="1:10" x14ac:dyDescent="0.2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10" x14ac:dyDescent="0.2">
      <c r="A66" s="3"/>
      <c r="B66" s="3"/>
      <c r="C66" s="3"/>
      <c r="D66" s="3"/>
      <c r="E66" s="3"/>
      <c r="F66" s="3"/>
      <c r="G66" s="3"/>
      <c r="H66" s="3"/>
      <c r="I66" s="3"/>
      <c r="J66" s="3"/>
    </row>
    <row r="67" spans="1:10" x14ac:dyDescent="0.2">
      <c r="A67" s="3"/>
      <c r="B67" s="3"/>
      <c r="C67" s="3"/>
      <c r="D67" s="3"/>
      <c r="E67" s="3"/>
      <c r="F67" s="3"/>
      <c r="G67" s="3"/>
      <c r="H67" s="3"/>
      <c r="I67" s="3"/>
      <c r="J67" s="3"/>
    </row>
    <row r="68" spans="1:10" x14ac:dyDescent="0.2">
      <c r="A68" s="3"/>
      <c r="B68" s="3"/>
      <c r="C68" s="3"/>
      <c r="D68" s="3"/>
      <c r="E68" s="3"/>
      <c r="F68" s="3"/>
      <c r="G68" s="3"/>
      <c r="H68" s="3"/>
      <c r="I68" s="3"/>
      <c r="J68" s="3"/>
    </row>
    <row r="69" spans="1:10" x14ac:dyDescent="0.2">
      <c r="A69" s="3"/>
      <c r="B69" s="3"/>
      <c r="C69" s="3"/>
      <c r="D69" s="3"/>
      <c r="E69" s="3"/>
      <c r="F69" s="3"/>
      <c r="G69" s="3"/>
      <c r="H69" s="3"/>
      <c r="I69" s="3"/>
      <c r="J69" s="3"/>
    </row>
    <row r="70" spans="1:10" x14ac:dyDescent="0.2">
      <c r="A70" s="3"/>
      <c r="B70" s="3"/>
      <c r="C70" s="3"/>
      <c r="D70" s="3"/>
      <c r="E70" s="3"/>
      <c r="F70" s="3"/>
      <c r="G70" s="3"/>
      <c r="H70" s="3"/>
      <c r="I70" s="3"/>
      <c r="J70" s="3"/>
    </row>
    <row r="71" spans="1:10" x14ac:dyDescent="0.2">
      <c r="A71" s="3"/>
      <c r="B71" s="3"/>
      <c r="C71" s="3"/>
      <c r="D71" s="3"/>
      <c r="E71" s="3"/>
      <c r="F71" s="3"/>
      <c r="G71" s="3"/>
      <c r="H71" s="3"/>
      <c r="I71" s="3"/>
      <c r="J71" s="3"/>
    </row>
    <row r="72" spans="1:10" x14ac:dyDescent="0.2">
      <c r="A72" s="3"/>
      <c r="B72" s="3"/>
      <c r="C72" s="3"/>
      <c r="D72" s="3"/>
      <c r="E72" s="3"/>
      <c r="F72" s="3"/>
      <c r="G72" s="3"/>
      <c r="H72" s="3"/>
      <c r="I72" s="3"/>
      <c r="J72" s="3"/>
    </row>
    <row r="73" spans="1:10" x14ac:dyDescent="0.2">
      <c r="A73" s="3"/>
      <c r="B73" s="3"/>
      <c r="C73" s="3"/>
      <c r="D73" s="3"/>
      <c r="E73" s="3"/>
      <c r="F73" s="3"/>
      <c r="G73" s="3"/>
      <c r="H73" s="3"/>
      <c r="I73" s="3"/>
      <c r="J73" s="3"/>
    </row>
    <row r="74" spans="1:10" x14ac:dyDescent="0.2">
      <c r="A74" s="3"/>
      <c r="B74" s="3"/>
      <c r="C74" s="3"/>
      <c r="D74" s="3"/>
      <c r="E74" s="3"/>
      <c r="F74" s="3"/>
      <c r="G74" s="3"/>
      <c r="H74" s="3"/>
      <c r="I74" s="3"/>
      <c r="J74" s="3"/>
    </row>
    <row r="75" spans="1:10" x14ac:dyDescent="0.2">
      <c r="A75" s="3"/>
      <c r="B75" s="3"/>
      <c r="C75" s="3"/>
      <c r="D75" s="3"/>
      <c r="E75" s="3"/>
      <c r="F75" s="3"/>
      <c r="G75" s="3"/>
      <c r="H75" s="3"/>
      <c r="I75" s="3"/>
      <c r="J75" s="3"/>
    </row>
    <row r="76" spans="1:10" x14ac:dyDescent="0.2">
      <c r="A76" s="3"/>
      <c r="B76" s="3"/>
      <c r="C76" s="3"/>
      <c r="D76" s="3"/>
      <c r="E76" s="3"/>
      <c r="F76" s="3"/>
      <c r="G76" s="3"/>
      <c r="H76" s="3"/>
      <c r="I76" s="3"/>
      <c r="J76" s="3"/>
    </row>
    <row r="77" spans="1:10" x14ac:dyDescent="0.2">
      <c r="A77" s="3"/>
      <c r="B77" s="3"/>
      <c r="C77" s="3"/>
      <c r="D77" s="3"/>
      <c r="E77" s="3"/>
      <c r="F77" s="3"/>
      <c r="G77" s="3"/>
      <c r="H77" s="3"/>
      <c r="I77" s="3"/>
      <c r="J77" s="3"/>
    </row>
    <row r="78" spans="1:10" x14ac:dyDescent="0.2">
      <c r="A78" s="3"/>
      <c r="B78" s="3"/>
      <c r="C78" s="3"/>
      <c r="D78" s="3"/>
      <c r="E78" s="3"/>
      <c r="F78" s="3"/>
      <c r="G78" s="3"/>
      <c r="H78" s="3"/>
      <c r="I78" s="3"/>
      <c r="J78" s="3"/>
    </row>
    <row r="79" spans="1:10" x14ac:dyDescent="0.2">
      <c r="A79" s="3"/>
      <c r="B79" s="3"/>
      <c r="C79" s="3"/>
      <c r="D79" s="3"/>
      <c r="E79" s="3"/>
      <c r="F79" s="3"/>
      <c r="G79" s="3"/>
      <c r="H79" s="3"/>
      <c r="I79" s="3"/>
      <c r="J79" s="3"/>
    </row>
    <row r="80" spans="1:10" x14ac:dyDescent="0.2">
      <c r="A80" s="3"/>
      <c r="B80" s="3"/>
      <c r="C80" s="3"/>
      <c r="D80" s="3"/>
      <c r="E80" s="3"/>
      <c r="F80" s="3"/>
      <c r="G80" s="3"/>
      <c r="H80" s="3"/>
      <c r="I80" s="3"/>
      <c r="J80" s="3"/>
    </row>
    <row r="81" spans="1:10" x14ac:dyDescent="0.2">
      <c r="A81" s="3"/>
      <c r="B81" s="3"/>
      <c r="C81" s="3"/>
      <c r="D81" s="3"/>
      <c r="E81" s="3"/>
      <c r="F81" s="3"/>
      <c r="G81" s="3"/>
      <c r="H81" s="3"/>
      <c r="I81" s="3"/>
      <c r="J81" s="3"/>
    </row>
    <row r="82" spans="1:10" x14ac:dyDescent="0.2">
      <c r="A82" s="3"/>
      <c r="B82" s="3"/>
      <c r="C82" s="3"/>
      <c r="D82" s="3"/>
      <c r="E82" s="3"/>
      <c r="F82" s="3"/>
      <c r="G82" s="3"/>
      <c r="H82" s="3"/>
      <c r="I82" s="3"/>
      <c r="J82" s="3"/>
    </row>
    <row r="83" spans="1:10" x14ac:dyDescent="0.2">
      <c r="A83" s="3"/>
      <c r="B83" s="3"/>
      <c r="C83" s="3"/>
      <c r="D83" s="3"/>
      <c r="E83" s="3"/>
      <c r="F83" s="3"/>
      <c r="G83" s="3"/>
      <c r="H83" s="3"/>
      <c r="I83" s="3"/>
      <c r="J83" s="3"/>
    </row>
    <row r="84" spans="1:10" x14ac:dyDescent="0.2">
      <c r="A84" s="3"/>
      <c r="B84" s="3"/>
      <c r="C84" s="3"/>
      <c r="D84" s="3"/>
      <c r="E84" s="3"/>
      <c r="F84" s="3"/>
      <c r="G84" s="3"/>
      <c r="H84" s="3"/>
      <c r="I84" s="3"/>
      <c r="J84" s="3"/>
    </row>
    <row r="85" spans="1:10" x14ac:dyDescent="0.2">
      <c r="A85" s="3"/>
      <c r="B85" s="3"/>
      <c r="C85" s="3"/>
      <c r="D85" s="3"/>
      <c r="E85" s="3"/>
      <c r="F85" s="3"/>
      <c r="G85" s="3"/>
      <c r="H85" s="3"/>
      <c r="I85" s="3"/>
      <c r="J85" s="3"/>
    </row>
    <row r="86" spans="1:10" x14ac:dyDescent="0.2">
      <c r="A86" s="3"/>
      <c r="B86" s="3"/>
      <c r="C86" s="3"/>
      <c r="D86" s="3"/>
      <c r="E86" s="3"/>
      <c r="F86" s="3"/>
      <c r="G86" s="3"/>
      <c r="H86" s="3"/>
      <c r="I86" s="3"/>
      <c r="J86" s="3"/>
    </row>
    <row r="87" spans="1:10" x14ac:dyDescent="0.2">
      <c r="A87" s="3"/>
      <c r="B87" s="3"/>
      <c r="C87" s="3"/>
      <c r="D87" s="3"/>
      <c r="E87" s="3"/>
      <c r="F87" s="3"/>
      <c r="G87" s="3"/>
      <c r="H87" s="3"/>
      <c r="I87" s="3"/>
      <c r="J87" s="3"/>
    </row>
    <row r="88" spans="1:10" x14ac:dyDescent="0.2">
      <c r="A88" s="3"/>
      <c r="B88" s="3"/>
      <c r="C88" s="3"/>
      <c r="D88" s="3"/>
      <c r="E88" s="3"/>
      <c r="F88" s="3"/>
      <c r="G88" s="3"/>
      <c r="H88" s="3"/>
      <c r="I88" s="3"/>
      <c r="J88" s="3"/>
    </row>
    <row r="89" spans="1:10" x14ac:dyDescent="0.2">
      <c r="A89" s="3"/>
      <c r="B89" s="3"/>
      <c r="C89" s="3"/>
      <c r="D89" s="3"/>
      <c r="E89" s="3"/>
      <c r="F89" s="3"/>
      <c r="G89" s="3"/>
      <c r="H89" s="3"/>
      <c r="I89" s="3"/>
      <c r="J89" s="3"/>
    </row>
    <row r="90" spans="1:10" x14ac:dyDescent="0.2">
      <c r="A90" s="3"/>
      <c r="B90" s="3"/>
      <c r="C90" s="3"/>
      <c r="D90" s="3"/>
      <c r="E90" s="3"/>
      <c r="F90" s="3"/>
      <c r="G90" s="3"/>
      <c r="H90" s="3"/>
      <c r="I90" s="3"/>
      <c r="J90" s="3"/>
    </row>
    <row r="91" spans="1:10" x14ac:dyDescent="0.2">
      <c r="A91" s="3"/>
      <c r="B91" s="3"/>
      <c r="C91" s="3"/>
      <c r="D91" s="3"/>
      <c r="E91" s="3"/>
      <c r="F91" s="3"/>
      <c r="G91" s="3"/>
      <c r="H91" s="3"/>
      <c r="I91" s="3"/>
      <c r="J91" s="3"/>
    </row>
    <row r="92" spans="1:10" x14ac:dyDescent="0.2">
      <c r="A92" s="3"/>
      <c r="B92" s="3"/>
      <c r="C92" s="3"/>
      <c r="D92" s="3"/>
      <c r="E92" s="3"/>
      <c r="F92" s="3"/>
      <c r="G92" s="3"/>
      <c r="H92" s="3"/>
      <c r="I92" s="3"/>
      <c r="J92" s="3"/>
    </row>
    <row r="93" spans="1:10" x14ac:dyDescent="0.2">
      <c r="A93" s="3"/>
      <c r="B93" s="3"/>
      <c r="C93" s="3"/>
      <c r="D93" s="3"/>
      <c r="E93" s="3"/>
      <c r="F93" s="3"/>
      <c r="G93" s="3"/>
      <c r="H93" s="3"/>
      <c r="I93" s="3"/>
      <c r="J93" s="3"/>
    </row>
    <row r="94" spans="1:10" x14ac:dyDescent="0.2">
      <c r="A94" s="3"/>
      <c r="B94" s="3"/>
      <c r="C94" s="3"/>
      <c r="D94" s="3"/>
      <c r="E94" s="3"/>
      <c r="F94" s="3"/>
      <c r="G94" s="3"/>
      <c r="H94" s="3"/>
      <c r="I94" s="3"/>
      <c r="J94" s="3"/>
    </row>
    <row r="95" spans="1:10" x14ac:dyDescent="0.2">
      <c r="A95" s="3"/>
      <c r="B95" s="3"/>
      <c r="C95" s="3"/>
      <c r="D95" s="3"/>
      <c r="E95" s="3"/>
      <c r="F95" s="3"/>
      <c r="G95" s="3"/>
      <c r="H95" s="3"/>
      <c r="I95" s="3"/>
      <c r="J95" s="3"/>
    </row>
    <row r="96" spans="1:10" x14ac:dyDescent="0.2">
      <c r="A96" s="3"/>
      <c r="B96" s="3"/>
      <c r="C96" s="3"/>
      <c r="D96" s="3"/>
      <c r="E96" s="3"/>
      <c r="F96" s="3"/>
      <c r="G96" s="3"/>
      <c r="H96" s="3"/>
      <c r="I96" s="3"/>
      <c r="J96" s="3"/>
    </row>
    <row r="97" spans="1:10" x14ac:dyDescent="0.2">
      <c r="A97" s="3"/>
      <c r="B97" s="3"/>
      <c r="C97" s="3"/>
      <c r="D97" s="3"/>
      <c r="E97" s="3"/>
      <c r="F97" s="3"/>
      <c r="G97" s="3"/>
      <c r="H97" s="3"/>
      <c r="I97" s="3"/>
      <c r="J97" s="3"/>
    </row>
    <row r="98" spans="1:10" x14ac:dyDescent="0.2">
      <c r="A98" s="3"/>
      <c r="B98" s="3"/>
      <c r="C98" s="3"/>
      <c r="D98" s="3"/>
      <c r="E98" s="3"/>
      <c r="F98" s="3"/>
      <c r="G98" s="3"/>
      <c r="H98" s="3"/>
      <c r="I98" s="3"/>
      <c r="J98" s="3"/>
    </row>
    <row r="99" spans="1:10" x14ac:dyDescent="0.2">
      <c r="A99" s="3"/>
      <c r="B99" s="3"/>
      <c r="C99" s="3"/>
      <c r="D99" s="3"/>
      <c r="E99" s="3"/>
      <c r="F99" s="3"/>
      <c r="G99" s="3"/>
      <c r="H99" s="3"/>
      <c r="I99" s="3"/>
      <c r="J99" s="3"/>
    </row>
    <row r="100" spans="1:10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</row>
  </sheetData>
  <sheetProtection formatCells="0" formatColumns="0" formatRows="0" insertColumns="0" insertRows="0" insertHyperlinks="0" deleteColumns="0" deleteRows="0" selectLockedCells="1" sort="0" autoFilter="0" pivotTables="0"/>
  <protectedRanges>
    <protectedRange sqref="A2:J2" name="Rango1"/>
  </protectedRanges>
  <mergeCells count="6">
    <mergeCell ref="B14:G14"/>
    <mergeCell ref="B15:G15"/>
    <mergeCell ref="B10:G10"/>
    <mergeCell ref="B11:G11"/>
    <mergeCell ref="B12:G12"/>
    <mergeCell ref="B13:G13"/>
  </mergeCells>
  <phoneticPr fontId="0" type="noConversion"/>
  <pageMargins left="0.75" right="0.75" top="1" bottom="1" header="0" footer="0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XML">
          <controlPr defaultSize="0" autoLine="0" autoPict="0" r:id="rId5">
            <anchor moveWithCells="1">
              <from>
                <xdr:col>11</xdr:col>
                <xdr:colOff>85725</xdr:colOff>
                <xdr:row>0</xdr:row>
                <xdr:rowOff>133350</xdr:rowOff>
              </from>
              <to>
                <xdr:col>12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025" r:id="rId4" name="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8"/>
  <dimension ref="A1:AY4"/>
  <sheetViews>
    <sheetView tabSelected="1" workbookViewId="0">
      <selection activeCell="I14" sqref="I14"/>
    </sheetView>
  </sheetViews>
  <sheetFormatPr baseColWidth="10" defaultColWidth="11.42578125" defaultRowHeight="15" x14ac:dyDescent="0.25"/>
  <cols>
    <col min="2" max="10" width="11.42578125" style="12"/>
    <col min="11" max="11" width="11.7109375" style="12" customWidth="1"/>
    <col min="12" max="15" width="11.42578125" style="12"/>
    <col min="16" max="16" width="9.42578125" style="12" customWidth="1"/>
    <col min="17" max="17" width="15.28515625" style="17" bestFit="1" customWidth="1"/>
    <col min="18" max="22" width="11.42578125" style="12"/>
    <col min="23" max="23" width="11.42578125" style="12" customWidth="1"/>
    <col min="24" max="24" width="11.42578125" style="12"/>
    <col min="25" max="25" width="14.5703125" style="12" bestFit="1" customWidth="1"/>
    <col min="26" max="26" width="12" style="12" bestFit="1" customWidth="1"/>
    <col min="27" max="16384" width="11.42578125" style="12"/>
  </cols>
  <sheetData>
    <row r="1" spans="1:51" s="22" customFormat="1" ht="39" thickBot="1" x14ac:dyDescent="0.25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46" t="s">
        <v>9</v>
      </c>
      <c r="K1" s="21" t="s">
        <v>10</v>
      </c>
      <c r="L1" s="21" t="s">
        <v>11</v>
      </c>
      <c r="M1" s="46" t="s">
        <v>12</v>
      </c>
      <c r="N1" s="21" t="s">
        <v>13</v>
      </c>
      <c r="O1" s="21" t="s">
        <v>14</v>
      </c>
      <c r="P1" s="21" t="s">
        <v>15</v>
      </c>
      <c r="Q1" s="46" t="s">
        <v>16</v>
      </c>
      <c r="R1" s="46" t="s">
        <v>17</v>
      </c>
      <c r="S1" s="46" t="s">
        <v>18</v>
      </c>
      <c r="T1" s="46" t="s">
        <v>19</v>
      </c>
      <c r="U1" s="21" t="s">
        <v>20</v>
      </c>
      <c r="V1" s="21" t="s">
        <v>21</v>
      </c>
      <c r="W1" s="46" t="s">
        <v>22</v>
      </c>
      <c r="X1" s="21" t="s">
        <v>23</v>
      </c>
      <c r="Y1" s="46" t="s">
        <v>24</v>
      </c>
      <c r="Z1" s="46" t="s">
        <v>25</v>
      </c>
      <c r="AA1" s="21" t="s">
        <v>26</v>
      </c>
      <c r="AB1" s="21" t="s">
        <v>27</v>
      </c>
      <c r="AC1" s="21" t="s">
        <v>28</v>
      </c>
      <c r="AD1" s="21" t="s">
        <v>29</v>
      </c>
      <c r="AE1" s="21" t="s">
        <v>30</v>
      </c>
      <c r="AF1" s="21" t="s">
        <v>31</v>
      </c>
      <c r="AG1" s="46" t="s">
        <v>32</v>
      </c>
      <c r="AH1" s="21" t="s">
        <v>33</v>
      </c>
      <c r="AI1" s="46" t="s">
        <v>34</v>
      </c>
      <c r="AJ1" s="46" t="s">
        <v>35</v>
      </c>
      <c r="AK1" s="46" t="s">
        <v>36</v>
      </c>
      <c r="AL1" s="46" t="s">
        <v>37</v>
      </c>
      <c r="AM1" s="21" t="s">
        <v>38</v>
      </c>
      <c r="AN1" s="21" t="s">
        <v>39</v>
      </c>
      <c r="AO1" s="21" t="s">
        <v>40</v>
      </c>
      <c r="AP1" s="21" t="s">
        <v>41</v>
      </c>
      <c r="AQ1" s="21" t="s">
        <v>42</v>
      </c>
      <c r="AR1" s="21" t="s">
        <v>43</v>
      </c>
      <c r="AS1" s="21" t="s">
        <v>44</v>
      </c>
      <c r="AT1" s="21" t="s">
        <v>45</v>
      </c>
      <c r="AU1" s="21" t="s">
        <v>46</v>
      </c>
      <c r="AV1" s="21" t="s">
        <v>47</v>
      </c>
      <c r="AW1" s="21" t="s">
        <v>48</v>
      </c>
      <c r="AX1" s="21" t="s">
        <v>49</v>
      </c>
      <c r="AY1" s="21" t="s">
        <v>50</v>
      </c>
    </row>
    <row r="2" spans="1:51" customFormat="1" ht="13.5" thickBot="1" x14ac:dyDescent="0.25">
      <c r="A2" s="10" t="s">
        <v>51</v>
      </c>
      <c r="B2" s="10" t="s">
        <v>52</v>
      </c>
      <c r="C2" s="10" t="s">
        <v>52</v>
      </c>
      <c r="D2" s="10" t="s">
        <v>52</v>
      </c>
      <c r="E2" s="10" t="s">
        <v>52</v>
      </c>
      <c r="F2" s="10" t="s">
        <v>52</v>
      </c>
      <c r="G2" s="10" t="s">
        <v>52</v>
      </c>
      <c r="H2" s="10" t="s">
        <v>52</v>
      </c>
      <c r="I2" s="10" t="s">
        <v>52</v>
      </c>
      <c r="J2" s="47" t="s">
        <v>53</v>
      </c>
      <c r="K2" s="10" t="s">
        <v>53</v>
      </c>
      <c r="L2" s="10" t="s">
        <v>52</v>
      </c>
      <c r="M2" s="47" t="s">
        <v>53</v>
      </c>
      <c r="N2" s="10" t="s">
        <v>52</v>
      </c>
      <c r="O2" s="10" t="s">
        <v>52</v>
      </c>
      <c r="P2" s="10" t="s">
        <v>52</v>
      </c>
      <c r="Q2" s="47" t="s">
        <v>53</v>
      </c>
      <c r="R2" s="47" t="s">
        <v>53</v>
      </c>
      <c r="S2" s="47" t="s">
        <v>53</v>
      </c>
      <c r="T2" s="47" t="s">
        <v>53</v>
      </c>
      <c r="U2" s="10" t="s">
        <v>53</v>
      </c>
      <c r="V2" s="10" t="s">
        <v>53</v>
      </c>
      <c r="W2" s="47" t="s">
        <v>53</v>
      </c>
      <c r="X2" s="10" t="s">
        <v>52</v>
      </c>
      <c r="Y2" s="47" t="s">
        <v>53</v>
      </c>
      <c r="Z2" s="47" t="s">
        <v>53</v>
      </c>
      <c r="AA2" s="10" t="s">
        <v>53</v>
      </c>
      <c r="AB2" s="10" t="s">
        <v>53</v>
      </c>
      <c r="AC2" s="10" t="s">
        <v>53</v>
      </c>
      <c r="AD2" s="10" t="s">
        <v>52</v>
      </c>
      <c r="AE2" s="10" t="s">
        <v>53</v>
      </c>
      <c r="AF2" s="10" t="s">
        <v>52</v>
      </c>
      <c r="AG2" s="47" t="s">
        <v>53</v>
      </c>
      <c r="AH2" s="10" t="s">
        <v>52</v>
      </c>
      <c r="AI2" s="47" t="s">
        <v>53</v>
      </c>
      <c r="AJ2" s="47" t="s">
        <v>53</v>
      </c>
      <c r="AK2" s="47" t="s">
        <v>53</v>
      </c>
      <c r="AL2" s="47" t="s">
        <v>53</v>
      </c>
      <c r="AM2" s="10" t="s">
        <v>53</v>
      </c>
      <c r="AN2" s="10" t="s">
        <v>53</v>
      </c>
      <c r="AO2" s="10" t="s">
        <v>53</v>
      </c>
      <c r="AP2" s="10" t="s">
        <v>53</v>
      </c>
      <c r="AQ2" s="10" t="s">
        <v>53</v>
      </c>
      <c r="AR2" s="10" t="s">
        <v>53</v>
      </c>
      <c r="AS2" s="10" t="s">
        <v>53</v>
      </c>
      <c r="AT2" s="10" t="s">
        <v>53</v>
      </c>
      <c r="AU2" s="10" t="s">
        <v>53</v>
      </c>
      <c r="AV2" s="10" t="s">
        <v>53</v>
      </c>
      <c r="AW2" s="10" t="s">
        <v>53</v>
      </c>
      <c r="AX2" s="10" t="s">
        <v>53</v>
      </c>
      <c r="AY2" s="10" t="s">
        <v>52</v>
      </c>
    </row>
    <row r="3" spans="1:51" customFormat="1" ht="13.5" thickBot="1" x14ac:dyDescent="0.25">
      <c r="A3" s="10" t="s">
        <v>54</v>
      </c>
      <c r="B3" s="10">
        <v>7</v>
      </c>
      <c r="C3" s="10">
        <v>4</v>
      </c>
      <c r="D3" s="10">
        <v>2</v>
      </c>
      <c r="E3" s="10">
        <v>2</v>
      </c>
      <c r="F3" s="10">
        <v>3</v>
      </c>
      <c r="G3" s="10">
        <v>1</v>
      </c>
      <c r="H3" s="10">
        <v>1</v>
      </c>
      <c r="I3" s="10">
        <v>1</v>
      </c>
      <c r="J3" s="47">
        <v>3</v>
      </c>
      <c r="K3" s="10">
        <v>3</v>
      </c>
      <c r="L3" s="10">
        <v>8</v>
      </c>
      <c r="M3" s="47">
        <v>8</v>
      </c>
      <c r="N3" s="10">
        <v>3</v>
      </c>
      <c r="O3" s="10">
        <v>1</v>
      </c>
      <c r="P3" s="10">
        <v>1</v>
      </c>
      <c r="Q3" s="47">
        <v>15</v>
      </c>
      <c r="R3" s="47">
        <v>3</v>
      </c>
      <c r="S3" s="47">
        <v>15</v>
      </c>
      <c r="T3" s="47">
        <v>3</v>
      </c>
      <c r="U3" s="10">
        <v>4</v>
      </c>
      <c r="V3" s="10">
        <v>3</v>
      </c>
      <c r="W3" s="47">
        <v>8</v>
      </c>
      <c r="X3" s="10">
        <v>3</v>
      </c>
      <c r="Y3" s="47">
        <v>15</v>
      </c>
      <c r="Z3" s="47">
        <v>10</v>
      </c>
      <c r="AA3" s="10">
        <v>10</v>
      </c>
      <c r="AB3" s="10">
        <v>3</v>
      </c>
      <c r="AC3" s="10">
        <v>3</v>
      </c>
      <c r="AD3" s="10">
        <v>13</v>
      </c>
      <c r="AE3" s="10">
        <v>3</v>
      </c>
      <c r="AF3" s="10">
        <v>13</v>
      </c>
      <c r="AG3" s="47">
        <v>3</v>
      </c>
      <c r="AH3" s="10">
        <v>1</v>
      </c>
      <c r="AI3" s="47">
        <v>2000</v>
      </c>
      <c r="AJ3" s="47">
        <v>15</v>
      </c>
      <c r="AK3" s="47">
        <v>3</v>
      </c>
      <c r="AL3" s="47">
        <v>15</v>
      </c>
      <c r="AM3" s="10">
        <v>50</v>
      </c>
      <c r="AN3" s="10">
        <v>40</v>
      </c>
      <c r="AO3" s="10">
        <v>40</v>
      </c>
      <c r="AP3" s="10">
        <v>40</v>
      </c>
      <c r="AQ3" s="10">
        <v>3</v>
      </c>
      <c r="AR3" s="10">
        <v>2</v>
      </c>
      <c r="AS3" s="10">
        <v>3</v>
      </c>
      <c r="AT3" s="10">
        <v>40</v>
      </c>
      <c r="AU3" s="10">
        <v>20</v>
      </c>
      <c r="AV3" s="10">
        <v>20</v>
      </c>
      <c r="AW3" s="10">
        <v>10</v>
      </c>
      <c r="AX3" s="10">
        <v>50</v>
      </c>
      <c r="AY3" s="10">
        <v>1</v>
      </c>
    </row>
    <row r="4" spans="1:51" x14ac:dyDescent="0.25">
      <c r="A4" s="15">
        <v>1</v>
      </c>
      <c r="B4" s="53">
        <v>2</v>
      </c>
      <c r="C4" s="48" t="s">
        <v>55</v>
      </c>
      <c r="D4" s="18" t="s">
        <v>56</v>
      </c>
      <c r="E4" s="18" t="s">
        <v>57</v>
      </c>
      <c r="F4" s="49" t="s">
        <v>58</v>
      </c>
      <c r="G4" s="49" t="s">
        <v>59</v>
      </c>
      <c r="H4" s="18" t="s">
        <v>59</v>
      </c>
      <c r="I4" s="18" t="s">
        <v>59</v>
      </c>
      <c r="J4" s="2" t="s">
        <v>58</v>
      </c>
      <c r="K4" s="51" t="s">
        <v>60</v>
      </c>
      <c r="L4" s="43">
        <v>1</v>
      </c>
      <c r="M4" s="54">
        <v>20250829</v>
      </c>
      <c r="N4" s="18" t="s">
        <v>61</v>
      </c>
      <c r="O4" s="18" t="s">
        <v>59</v>
      </c>
      <c r="P4">
        <v>0</v>
      </c>
      <c r="Q4">
        <v>901362879</v>
      </c>
      <c r="R4" s="2" t="s">
        <v>58</v>
      </c>
      <c r="S4">
        <v>901362879</v>
      </c>
      <c r="T4" s="2" t="s">
        <v>58</v>
      </c>
      <c r="U4" s="17"/>
      <c r="V4" s="56" t="s">
        <v>58</v>
      </c>
      <c r="W4" s="54">
        <v>20250903</v>
      </c>
      <c r="X4" s="65" t="s">
        <v>294</v>
      </c>
      <c r="Y4" s="59">
        <v>116133</v>
      </c>
      <c r="Z4" s="59">
        <v>116133</v>
      </c>
      <c r="AA4" s="17"/>
      <c r="AB4" s="78" t="s">
        <v>443</v>
      </c>
      <c r="AC4" s="17" t="s">
        <v>62</v>
      </c>
      <c r="AD4" s="17" t="s">
        <v>59</v>
      </c>
      <c r="AE4" s="17" t="s">
        <v>62</v>
      </c>
      <c r="AF4" s="17" t="s">
        <v>59</v>
      </c>
      <c r="AG4" s="65" t="s">
        <v>277</v>
      </c>
      <c r="AH4" s="56" t="s">
        <v>63</v>
      </c>
      <c r="AI4" s="57"/>
      <c r="AJ4" s="17"/>
      <c r="AK4" s="2" t="s">
        <v>58</v>
      </c>
      <c r="AL4">
        <v>36066999</v>
      </c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56" t="s">
        <v>64</v>
      </c>
    </row>
  </sheetData>
  <phoneticPr fontId="3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2:IV59"/>
  <sheetViews>
    <sheetView topLeftCell="A12" workbookViewId="0">
      <selection activeCell="I29" sqref="I29"/>
    </sheetView>
  </sheetViews>
  <sheetFormatPr baseColWidth="10" defaultColWidth="35.28515625" defaultRowHeight="11.25" x14ac:dyDescent="0.2"/>
  <cols>
    <col min="1" max="1" width="23.140625" style="24" bestFit="1" customWidth="1"/>
    <col min="2" max="2" width="23.85546875" style="25" bestFit="1" customWidth="1"/>
    <col min="3" max="3" width="10.140625" style="24" bestFit="1" customWidth="1"/>
    <col min="4" max="4" width="37.7109375" style="25" bestFit="1" customWidth="1"/>
    <col min="5" max="5" width="4.140625" style="24" bestFit="1" customWidth="1"/>
    <col min="6" max="6" width="5.5703125" style="26" bestFit="1" customWidth="1"/>
    <col min="7" max="7" width="7.85546875" style="26" bestFit="1" customWidth="1"/>
    <col min="8" max="8" width="6.28515625" style="26" bestFit="1" customWidth="1"/>
    <col min="9" max="9" width="35.28515625" style="63"/>
    <col min="10" max="256" width="35.28515625" style="23"/>
    <col min="257" max="257" width="23.140625" style="23" bestFit="1" customWidth="1"/>
    <col min="258" max="258" width="23.85546875" style="23" bestFit="1" customWidth="1"/>
    <col min="259" max="259" width="10.140625" style="23" bestFit="1" customWidth="1"/>
    <col min="260" max="260" width="37.7109375" style="23" bestFit="1" customWidth="1"/>
    <col min="261" max="261" width="4.140625" style="23" bestFit="1" customWidth="1"/>
    <col min="262" max="262" width="5.5703125" style="23" bestFit="1" customWidth="1"/>
    <col min="263" max="263" width="7.85546875" style="23" bestFit="1" customWidth="1"/>
    <col min="264" max="264" width="6.28515625" style="23" bestFit="1" customWidth="1"/>
    <col min="265" max="512" width="35.28515625" style="23"/>
    <col min="513" max="513" width="23.140625" style="23" bestFit="1" customWidth="1"/>
    <col min="514" max="514" width="23.85546875" style="23" bestFit="1" customWidth="1"/>
    <col min="515" max="515" width="10.140625" style="23" bestFit="1" customWidth="1"/>
    <col min="516" max="516" width="37.7109375" style="23" bestFit="1" customWidth="1"/>
    <col min="517" max="517" width="4.140625" style="23" bestFit="1" customWidth="1"/>
    <col min="518" max="518" width="5.5703125" style="23" bestFit="1" customWidth="1"/>
    <col min="519" max="519" width="7.85546875" style="23" bestFit="1" customWidth="1"/>
    <col min="520" max="520" width="6.28515625" style="23" bestFit="1" customWidth="1"/>
    <col min="521" max="768" width="35.28515625" style="23"/>
    <col min="769" max="769" width="23.140625" style="23" bestFit="1" customWidth="1"/>
    <col min="770" max="770" width="23.85546875" style="23" bestFit="1" customWidth="1"/>
    <col min="771" max="771" width="10.140625" style="23" bestFit="1" customWidth="1"/>
    <col min="772" max="772" width="37.7109375" style="23" bestFit="1" customWidth="1"/>
    <col min="773" max="773" width="4.140625" style="23" bestFit="1" customWidth="1"/>
    <col min="774" max="774" width="5.5703125" style="23" bestFit="1" customWidth="1"/>
    <col min="775" max="775" width="7.85546875" style="23" bestFit="1" customWidth="1"/>
    <col min="776" max="776" width="6.28515625" style="23" bestFit="1" customWidth="1"/>
    <col min="777" max="1024" width="35.28515625" style="23"/>
    <col min="1025" max="1025" width="23.140625" style="23" bestFit="1" customWidth="1"/>
    <col min="1026" max="1026" width="23.85546875" style="23" bestFit="1" customWidth="1"/>
    <col min="1027" max="1027" width="10.140625" style="23" bestFit="1" customWidth="1"/>
    <col min="1028" max="1028" width="37.7109375" style="23" bestFit="1" customWidth="1"/>
    <col min="1029" max="1029" width="4.140625" style="23" bestFit="1" customWidth="1"/>
    <col min="1030" max="1030" width="5.5703125" style="23" bestFit="1" customWidth="1"/>
    <col min="1031" max="1031" width="7.85546875" style="23" bestFit="1" customWidth="1"/>
    <col min="1032" max="1032" width="6.28515625" style="23" bestFit="1" customWidth="1"/>
    <col min="1033" max="1280" width="35.28515625" style="23"/>
    <col min="1281" max="1281" width="23.140625" style="23" bestFit="1" customWidth="1"/>
    <col min="1282" max="1282" width="23.85546875" style="23" bestFit="1" customWidth="1"/>
    <col min="1283" max="1283" width="10.140625" style="23" bestFit="1" customWidth="1"/>
    <col min="1284" max="1284" width="37.7109375" style="23" bestFit="1" customWidth="1"/>
    <col min="1285" max="1285" width="4.140625" style="23" bestFit="1" customWidth="1"/>
    <col min="1286" max="1286" width="5.5703125" style="23" bestFit="1" customWidth="1"/>
    <col min="1287" max="1287" width="7.85546875" style="23" bestFit="1" customWidth="1"/>
    <col min="1288" max="1288" width="6.28515625" style="23" bestFit="1" customWidth="1"/>
    <col min="1289" max="1536" width="35.28515625" style="23"/>
    <col min="1537" max="1537" width="23.140625" style="23" bestFit="1" customWidth="1"/>
    <col min="1538" max="1538" width="23.85546875" style="23" bestFit="1" customWidth="1"/>
    <col min="1539" max="1539" width="10.140625" style="23" bestFit="1" customWidth="1"/>
    <col min="1540" max="1540" width="37.7109375" style="23" bestFit="1" customWidth="1"/>
    <col min="1541" max="1541" width="4.140625" style="23" bestFit="1" customWidth="1"/>
    <col min="1542" max="1542" width="5.5703125" style="23" bestFit="1" customWidth="1"/>
    <col min="1543" max="1543" width="7.85546875" style="23" bestFit="1" customWidth="1"/>
    <col min="1544" max="1544" width="6.28515625" style="23" bestFit="1" customWidth="1"/>
    <col min="1545" max="1792" width="35.28515625" style="23"/>
    <col min="1793" max="1793" width="23.140625" style="23" bestFit="1" customWidth="1"/>
    <col min="1794" max="1794" width="23.85546875" style="23" bestFit="1" customWidth="1"/>
    <col min="1795" max="1795" width="10.140625" style="23" bestFit="1" customWidth="1"/>
    <col min="1796" max="1796" width="37.7109375" style="23" bestFit="1" customWidth="1"/>
    <col min="1797" max="1797" width="4.140625" style="23" bestFit="1" customWidth="1"/>
    <col min="1798" max="1798" width="5.5703125" style="23" bestFit="1" customWidth="1"/>
    <col min="1799" max="1799" width="7.85546875" style="23" bestFit="1" customWidth="1"/>
    <col min="1800" max="1800" width="6.28515625" style="23" bestFit="1" customWidth="1"/>
    <col min="1801" max="2048" width="35.28515625" style="23"/>
    <col min="2049" max="2049" width="23.140625" style="23" bestFit="1" customWidth="1"/>
    <col min="2050" max="2050" width="23.85546875" style="23" bestFit="1" customWidth="1"/>
    <col min="2051" max="2051" width="10.140625" style="23" bestFit="1" customWidth="1"/>
    <col min="2052" max="2052" width="37.7109375" style="23" bestFit="1" customWidth="1"/>
    <col min="2053" max="2053" width="4.140625" style="23" bestFit="1" customWidth="1"/>
    <col min="2054" max="2054" width="5.5703125" style="23" bestFit="1" customWidth="1"/>
    <col min="2055" max="2055" width="7.85546875" style="23" bestFit="1" customWidth="1"/>
    <col min="2056" max="2056" width="6.28515625" style="23" bestFit="1" customWidth="1"/>
    <col min="2057" max="2304" width="35.28515625" style="23"/>
    <col min="2305" max="2305" width="23.140625" style="23" bestFit="1" customWidth="1"/>
    <col min="2306" max="2306" width="23.85546875" style="23" bestFit="1" customWidth="1"/>
    <col min="2307" max="2307" width="10.140625" style="23" bestFit="1" customWidth="1"/>
    <col min="2308" max="2308" width="37.7109375" style="23" bestFit="1" customWidth="1"/>
    <col min="2309" max="2309" width="4.140625" style="23" bestFit="1" customWidth="1"/>
    <col min="2310" max="2310" width="5.5703125" style="23" bestFit="1" customWidth="1"/>
    <col min="2311" max="2311" width="7.85546875" style="23" bestFit="1" customWidth="1"/>
    <col min="2312" max="2312" width="6.28515625" style="23" bestFit="1" customWidth="1"/>
    <col min="2313" max="2560" width="35.28515625" style="23"/>
    <col min="2561" max="2561" width="23.140625" style="23" bestFit="1" customWidth="1"/>
    <col min="2562" max="2562" width="23.85546875" style="23" bestFit="1" customWidth="1"/>
    <col min="2563" max="2563" width="10.140625" style="23" bestFit="1" customWidth="1"/>
    <col min="2564" max="2564" width="37.7109375" style="23" bestFit="1" customWidth="1"/>
    <col min="2565" max="2565" width="4.140625" style="23" bestFit="1" customWidth="1"/>
    <col min="2566" max="2566" width="5.5703125" style="23" bestFit="1" customWidth="1"/>
    <col min="2567" max="2567" width="7.85546875" style="23" bestFit="1" customWidth="1"/>
    <col min="2568" max="2568" width="6.28515625" style="23" bestFit="1" customWidth="1"/>
    <col min="2569" max="2816" width="35.28515625" style="23"/>
    <col min="2817" max="2817" width="23.140625" style="23" bestFit="1" customWidth="1"/>
    <col min="2818" max="2818" width="23.85546875" style="23" bestFit="1" customWidth="1"/>
    <col min="2819" max="2819" width="10.140625" style="23" bestFit="1" customWidth="1"/>
    <col min="2820" max="2820" width="37.7109375" style="23" bestFit="1" customWidth="1"/>
    <col min="2821" max="2821" width="4.140625" style="23" bestFit="1" customWidth="1"/>
    <col min="2822" max="2822" width="5.5703125" style="23" bestFit="1" customWidth="1"/>
    <col min="2823" max="2823" width="7.85546875" style="23" bestFit="1" customWidth="1"/>
    <col min="2824" max="2824" width="6.28515625" style="23" bestFit="1" customWidth="1"/>
    <col min="2825" max="3072" width="35.28515625" style="23"/>
    <col min="3073" max="3073" width="23.140625" style="23" bestFit="1" customWidth="1"/>
    <col min="3074" max="3074" width="23.85546875" style="23" bestFit="1" customWidth="1"/>
    <col min="3075" max="3075" width="10.140625" style="23" bestFit="1" customWidth="1"/>
    <col min="3076" max="3076" width="37.7109375" style="23" bestFit="1" customWidth="1"/>
    <col min="3077" max="3077" width="4.140625" style="23" bestFit="1" customWidth="1"/>
    <col min="3078" max="3078" width="5.5703125" style="23" bestFit="1" customWidth="1"/>
    <col min="3079" max="3079" width="7.85546875" style="23" bestFit="1" customWidth="1"/>
    <col min="3080" max="3080" width="6.28515625" style="23" bestFit="1" customWidth="1"/>
    <col min="3081" max="3328" width="35.28515625" style="23"/>
    <col min="3329" max="3329" width="23.140625" style="23" bestFit="1" customWidth="1"/>
    <col min="3330" max="3330" width="23.85546875" style="23" bestFit="1" customWidth="1"/>
    <col min="3331" max="3331" width="10.140625" style="23" bestFit="1" customWidth="1"/>
    <col min="3332" max="3332" width="37.7109375" style="23" bestFit="1" customWidth="1"/>
    <col min="3333" max="3333" width="4.140625" style="23" bestFit="1" customWidth="1"/>
    <col min="3334" max="3334" width="5.5703125" style="23" bestFit="1" customWidth="1"/>
    <col min="3335" max="3335" width="7.85546875" style="23" bestFit="1" customWidth="1"/>
    <col min="3336" max="3336" width="6.28515625" style="23" bestFit="1" customWidth="1"/>
    <col min="3337" max="3584" width="35.28515625" style="23"/>
    <col min="3585" max="3585" width="23.140625" style="23" bestFit="1" customWidth="1"/>
    <col min="3586" max="3586" width="23.85546875" style="23" bestFit="1" customWidth="1"/>
    <col min="3587" max="3587" width="10.140625" style="23" bestFit="1" customWidth="1"/>
    <col min="3588" max="3588" width="37.7109375" style="23" bestFit="1" customWidth="1"/>
    <col min="3589" max="3589" width="4.140625" style="23" bestFit="1" customWidth="1"/>
    <col min="3590" max="3590" width="5.5703125" style="23" bestFit="1" customWidth="1"/>
    <col min="3591" max="3591" width="7.85546875" style="23" bestFit="1" customWidth="1"/>
    <col min="3592" max="3592" width="6.28515625" style="23" bestFit="1" customWidth="1"/>
    <col min="3593" max="3840" width="35.28515625" style="23"/>
    <col min="3841" max="3841" width="23.140625" style="23" bestFit="1" customWidth="1"/>
    <col min="3842" max="3842" width="23.85546875" style="23" bestFit="1" customWidth="1"/>
    <col min="3843" max="3843" width="10.140625" style="23" bestFit="1" customWidth="1"/>
    <col min="3844" max="3844" width="37.7109375" style="23" bestFit="1" customWidth="1"/>
    <col min="3845" max="3845" width="4.140625" style="23" bestFit="1" customWidth="1"/>
    <col min="3846" max="3846" width="5.5703125" style="23" bestFit="1" customWidth="1"/>
    <col min="3847" max="3847" width="7.85546875" style="23" bestFit="1" customWidth="1"/>
    <col min="3848" max="3848" width="6.28515625" style="23" bestFit="1" customWidth="1"/>
    <col min="3849" max="4096" width="35.28515625" style="23"/>
    <col min="4097" max="4097" width="23.140625" style="23" bestFit="1" customWidth="1"/>
    <col min="4098" max="4098" width="23.85546875" style="23" bestFit="1" customWidth="1"/>
    <col min="4099" max="4099" width="10.140625" style="23" bestFit="1" customWidth="1"/>
    <col min="4100" max="4100" width="37.7109375" style="23" bestFit="1" customWidth="1"/>
    <col min="4101" max="4101" width="4.140625" style="23" bestFit="1" customWidth="1"/>
    <col min="4102" max="4102" width="5.5703125" style="23" bestFit="1" customWidth="1"/>
    <col min="4103" max="4103" width="7.85546875" style="23" bestFit="1" customWidth="1"/>
    <col min="4104" max="4104" width="6.28515625" style="23" bestFit="1" customWidth="1"/>
    <col min="4105" max="4352" width="35.28515625" style="23"/>
    <col min="4353" max="4353" width="23.140625" style="23" bestFit="1" customWidth="1"/>
    <col min="4354" max="4354" width="23.85546875" style="23" bestFit="1" customWidth="1"/>
    <col min="4355" max="4355" width="10.140625" style="23" bestFit="1" customWidth="1"/>
    <col min="4356" max="4356" width="37.7109375" style="23" bestFit="1" customWidth="1"/>
    <col min="4357" max="4357" width="4.140625" style="23" bestFit="1" customWidth="1"/>
    <col min="4358" max="4358" width="5.5703125" style="23" bestFit="1" customWidth="1"/>
    <col min="4359" max="4359" width="7.85546875" style="23" bestFit="1" customWidth="1"/>
    <col min="4360" max="4360" width="6.28515625" style="23" bestFit="1" customWidth="1"/>
    <col min="4361" max="4608" width="35.28515625" style="23"/>
    <col min="4609" max="4609" width="23.140625" style="23" bestFit="1" customWidth="1"/>
    <col min="4610" max="4610" width="23.85546875" style="23" bestFit="1" customWidth="1"/>
    <col min="4611" max="4611" width="10.140625" style="23" bestFit="1" customWidth="1"/>
    <col min="4612" max="4612" width="37.7109375" style="23" bestFit="1" customWidth="1"/>
    <col min="4613" max="4613" width="4.140625" style="23" bestFit="1" customWidth="1"/>
    <col min="4614" max="4614" width="5.5703125" style="23" bestFit="1" customWidth="1"/>
    <col min="4615" max="4615" width="7.85546875" style="23" bestFit="1" customWidth="1"/>
    <col min="4616" max="4616" width="6.28515625" style="23" bestFit="1" customWidth="1"/>
    <col min="4617" max="4864" width="35.28515625" style="23"/>
    <col min="4865" max="4865" width="23.140625" style="23" bestFit="1" customWidth="1"/>
    <col min="4866" max="4866" width="23.85546875" style="23" bestFit="1" customWidth="1"/>
    <col min="4867" max="4867" width="10.140625" style="23" bestFit="1" customWidth="1"/>
    <col min="4868" max="4868" width="37.7109375" style="23" bestFit="1" customWidth="1"/>
    <col min="4869" max="4869" width="4.140625" style="23" bestFit="1" customWidth="1"/>
    <col min="4870" max="4870" width="5.5703125" style="23" bestFit="1" customWidth="1"/>
    <col min="4871" max="4871" width="7.85546875" style="23" bestFit="1" customWidth="1"/>
    <col min="4872" max="4872" width="6.28515625" style="23" bestFit="1" customWidth="1"/>
    <col min="4873" max="5120" width="35.28515625" style="23"/>
    <col min="5121" max="5121" width="23.140625" style="23" bestFit="1" customWidth="1"/>
    <col min="5122" max="5122" width="23.85546875" style="23" bestFit="1" customWidth="1"/>
    <col min="5123" max="5123" width="10.140625" style="23" bestFit="1" customWidth="1"/>
    <col min="5124" max="5124" width="37.7109375" style="23" bestFit="1" customWidth="1"/>
    <col min="5125" max="5125" width="4.140625" style="23" bestFit="1" customWidth="1"/>
    <col min="5126" max="5126" width="5.5703125" style="23" bestFit="1" customWidth="1"/>
    <col min="5127" max="5127" width="7.85546875" style="23" bestFit="1" customWidth="1"/>
    <col min="5128" max="5128" width="6.28515625" style="23" bestFit="1" customWidth="1"/>
    <col min="5129" max="5376" width="35.28515625" style="23"/>
    <col min="5377" max="5377" width="23.140625" style="23" bestFit="1" customWidth="1"/>
    <col min="5378" max="5378" width="23.85546875" style="23" bestFit="1" customWidth="1"/>
    <col min="5379" max="5379" width="10.140625" style="23" bestFit="1" customWidth="1"/>
    <col min="5380" max="5380" width="37.7109375" style="23" bestFit="1" customWidth="1"/>
    <col min="5381" max="5381" width="4.140625" style="23" bestFit="1" customWidth="1"/>
    <col min="5382" max="5382" width="5.5703125" style="23" bestFit="1" customWidth="1"/>
    <col min="5383" max="5383" width="7.85546875" style="23" bestFit="1" customWidth="1"/>
    <col min="5384" max="5384" width="6.28515625" style="23" bestFit="1" customWidth="1"/>
    <col min="5385" max="5632" width="35.28515625" style="23"/>
    <col min="5633" max="5633" width="23.140625" style="23" bestFit="1" customWidth="1"/>
    <col min="5634" max="5634" width="23.85546875" style="23" bestFit="1" customWidth="1"/>
    <col min="5635" max="5635" width="10.140625" style="23" bestFit="1" customWidth="1"/>
    <col min="5636" max="5636" width="37.7109375" style="23" bestFit="1" customWidth="1"/>
    <col min="5637" max="5637" width="4.140625" style="23" bestFit="1" customWidth="1"/>
    <col min="5638" max="5638" width="5.5703125" style="23" bestFit="1" customWidth="1"/>
    <col min="5639" max="5639" width="7.85546875" style="23" bestFit="1" customWidth="1"/>
    <col min="5640" max="5640" width="6.28515625" style="23" bestFit="1" customWidth="1"/>
    <col min="5641" max="5888" width="35.28515625" style="23"/>
    <col min="5889" max="5889" width="23.140625" style="23" bestFit="1" customWidth="1"/>
    <col min="5890" max="5890" width="23.85546875" style="23" bestFit="1" customWidth="1"/>
    <col min="5891" max="5891" width="10.140625" style="23" bestFit="1" customWidth="1"/>
    <col min="5892" max="5892" width="37.7109375" style="23" bestFit="1" customWidth="1"/>
    <col min="5893" max="5893" width="4.140625" style="23" bestFit="1" customWidth="1"/>
    <col min="5894" max="5894" width="5.5703125" style="23" bestFit="1" customWidth="1"/>
    <col min="5895" max="5895" width="7.85546875" style="23" bestFit="1" customWidth="1"/>
    <col min="5896" max="5896" width="6.28515625" style="23" bestFit="1" customWidth="1"/>
    <col min="5897" max="6144" width="35.28515625" style="23"/>
    <col min="6145" max="6145" width="23.140625" style="23" bestFit="1" customWidth="1"/>
    <col min="6146" max="6146" width="23.85546875" style="23" bestFit="1" customWidth="1"/>
    <col min="6147" max="6147" width="10.140625" style="23" bestFit="1" customWidth="1"/>
    <col min="6148" max="6148" width="37.7109375" style="23" bestFit="1" customWidth="1"/>
    <col min="6149" max="6149" width="4.140625" style="23" bestFit="1" customWidth="1"/>
    <col min="6150" max="6150" width="5.5703125" style="23" bestFit="1" customWidth="1"/>
    <col min="6151" max="6151" width="7.85546875" style="23" bestFit="1" customWidth="1"/>
    <col min="6152" max="6152" width="6.28515625" style="23" bestFit="1" customWidth="1"/>
    <col min="6153" max="6400" width="35.28515625" style="23"/>
    <col min="6401" max="6401" width="23.140625" style="23" bestFit="1" customWidth="1"/>
    <col min="6402" max="6402" width="23.85546875" style="23" bestFit="1" customWidth="1"/>
    <col min="6403" max="6403" width="10.140625" style="23" bestFit="1" customWidth="1"/>
    <col min="6404" max="6404" width="37.7109375" style="23" bestFit="1" customWidth="1"/>
    <col min="6405" max="6405" width="4.140625" style="23" bestFit="1" customWidth="1"/>
    <col min="6406" max="6406" width="5.5703125" style="23" bestFit="1" customWidth="1"/>
    <col min="6407" max="6407" width="7.85546875" style="23" bestFit="1" customWidth="1"/>
    <col min="6408" max="6408" width="6.28515625" style="23" bestFit="1" customWidth="1"/>
    <col min="6409" max="6656" width="35.28515625" style="23"/>
    <col min="6657" max="6657" width="23.140625" style="23" bestFit="1" customWidth="1"/>
    <col min="6658" max="6658" width="23.85546875" style="23" bestFit="1" customWidth="1"/>
    <col min="6659" max="6659" width="10.140625" style="23" bestFit="1" customWidth="1"/>
    <col min="6660" max="6660" width="37.7109375" style="23" bestFit="1" customWidth="1"/>
    <col min="6661" max="6661" width="4.140625" style="23" bestFit="1" customWidth="1"/>
    <col min="6662" max="6662" width="5.5703125" style="23" bestFit="1" customWidth="1"/>
    <col min="6663" max="6663" width="7.85546875" style="23" bestFit="1" customWidth="1"/>
    <col min="6664" max="6664" width="6.28515625" style="23" bestFit="1" customWidth="1"/>
    <col min="6665" max="6912" width="35.28515625" style="23"/>
    <col min="6913" max="6913" width="23.140625" style="23" bestFit="1" customWidth="1"/>
    <col min="6914" max="6914" width="23.85546875" style="23" bestFit="1" customWidth="1"/>
    <col min="6915" max="6915" width="10.140625" style="23" bestFit="1" customWidth="1"/>
    <col min="6916" max="6916" width="37.7109375" style="23" bestFit="1" customWidth="1"/>
    <col min="6917" max="6917" width="4.140625" style="23" bestFit="1" customWidth="1"/>
    <col min="6918" max="6918" width="5.5703125" style="23" bestFit="1" customWidth="1"/>
    <col min="6919" max="6919" width="7.85546875" style="23" bestFit="1" customWidth="1"/>
    <col min="6920" max="6920" width="6.28515625" style="23" bestFit="1" customWidth="1"/>
    <col min="6921" max="7168" width="35.28515625" style="23"/>
    <col min="7169" max="7169" width="23.140625" style="23" bestFit="1" customWidth="1"/>
    <col min="7170" max="7170" width="23.85546875" style="23" bestFit="1" customWidth="1"/>
    <col min="7171" max="7171" width="10.140625" style="23" bestFit="1" customWidth="1"/>
    <col min="7172" max="7172" width="37.7109375" style="23" bestFit="1" customWidth="1"/>
    <col min="7173" max="7173" width="4.140625" style="23" bestFit="1" customWidth="1"/>
    <col min="7174" max="7174" width="5.5703125" style="23" bestFit="1" customWidth="1"/>
    <col min="7175" max="7175" width="7.85546875" style="23" bestFit="1" customWidth="1"/>
    <col min="7176" max="7176" width="6.28515625" style="23" bestFit="1" customWidth="1"/>
    <col min="7177" max="7424" width="35.28515625" style="23"/>
    <col min="7425" max="7425" width="23.140625" style="23" bestFit="1" customWidth="1"/>
    <col min="7426" max="7426" width="23.85546875" style="23" bestFit="1" customWidth="1"/>
    <col min="7427" max="7427" width="10.140625" style="23" bestFit="1" customWidth="1"/>
    <col min="7428" max="7428" width="37.7109375" style="23" bestFit="1" customWidth="1"/>
    <col min="7429" max="7429" width="4.140625" style="23" bestFit="1" customWidth="1"/>
    <col min="7430" max="7430" width="5.5703125" style="23" bestFit="1" customWidth="1"/>
    <col min="7431" max="7431" width="7.85546875" style="23" bestFit="1" customWidth="1"/>
    <col min="7432" max="7432" width="6.28515625" style="23" bestFit="1" customWidth="1"/>
    <col min="7433" max="7680" width="35.28515625" style="23"/>
    <col min="7681" max="7681" width="23.140625" style="23" bestFit="1" customWidth="1"/>
    <col min="7682" max="7682" width="23.85546875" style="23" bestFit="1" customWidth="1"/>
    <col min="7683" max="7683" width="10.140625" style="23" bestFit="1" customWidth="1"/>
    <col min="7684" max="7684" width="37.7109375" style="23" bestFit="1" customWidth="1"/>
    <col min="7685" max="7685" width="4.140625" style="23" bestFit="1" customWidth="1"/>
    <col min="7686" max="7686" width="5.5703125" style="23" bestFit="1" customWidth="1"/>
    <col min="7687" max="7687" width="7.85546875" style="23" bestFit="1" customWidth="1"/>
    <col min="7688" max="7688" width="6.28515625" style="23" bestFit="1" customWidth="1"/>
    <col min="7689" max="7936" width="35.28515625" style="23"/>
    <col min="7937" max="7937" width="23.140625" style="23" bestFit="1" customWidth="1"/>
    <col min="7938" max="7938" width="23.85546875" style="23" bestFit="1" customWidth="1"/>
    <col min="7939" max="7939" width="10.140625" style="23" bestFit="1" customWidth="1"/>
    <col min="7940" max="7940" width="37.7109375" style="23" bestFit="1" customWidth="1"/>
    <col min="7941" max="7941" width="4.140625" style="23" bestFit="1" customWidth="1"/>
    <col min="7942" max="7942" width="5.5703125" style="23" bestFit="1" customWidth="1"/>
    <col min="7943" max="7943" width="7.85546875" style="23" bestFit="1" customWidth="1"/>
    <col min="7944" max="7944" width="6.28515625" style="23" bestFit="1" customWidth="1"/>
    <col min="7945" max="8192" width="35.28515625" style="23"/>
    <col min="8193" max="8193" width="23.140625" style="23" bestFit="1" customWidth="1"/>
    <col min="8194" max="8194" width="23.85546875" style="23" bestFit="1" customWidth="1"/>
    <col min="8195" max="8195" width="10.140625" style="23" bestFit="1" customWidth="1"/>
    <col min="8196" max="8196" width="37.7109375" style="23" bestFit="1" customWidth="1"/>
    <col min="8197" max="8197" width="4.140625" style="23" bestFit="1" customWidth="1"/>
    <col min="8198" max="8198" width="5.5703125" style="23" bestFit="1" customWidth="1"/>
    <col min="8199" max="8199" width="7.85546875" style="23" bestFit="1" customWidth="1"/>
    <col min="8200" max="8200" width="6.28515625" style="23" bestFit="1" customWidth="1"/>
    <col min="8201" max="8448" width="35.28515625" style="23"/>
    <col min="8449" max="8449" width="23.140625" style="23" bestFit="1" customWidth="1"/>
    <col min="8450" max="8450" width="23.85546875" style="23" bestFit="1" customWidth="1"/>
    <col min="8451" max="8451" width="10.140625" style="23" bestFit="1" customWidth="1"/>
    <col min="8452" max="8452" width="37.7109375" style="23" bestFit="1" customWidth="1"/>
    <col min="8453" max="8453" width="4.140625" style="23" bestFit="1" customWidth="1"/>
    <col min="8454" max="8454" width="5.5703125" style="23" bestFit="1" customWidth="1"/>
    <col min="8455" max="8455" width="7.85546875" style="23" bestFit="1" customWidth="1"/>
    <col min="8456" max="8456" width="6.28515625" style="23" bestFit="1" customWidth="1"/>
    <col min="8457" max="8704" width="35.28515625" style="23"/>
    <col min="8705" max="8705" width="23.140625" style="23" bestFit="1" customWidth="1"/>
    <col min="8706" max="8706" width="23.85546875" style="23" bestFit="1" customWidth="1"/>
    <col min="8707" max="8707" width="10.140625" style="23" bestFit="1" customWidth="1"/>
    <col min="8708" max="8708" width="37.7109375" style="23" bestFit="1" customWidth="1"/>
    <col min="8709" max="8709" width="4.140625" style="23" bestFit="1" customWidth="1"/>
    <col min="8710" max="8710" width="5.5703125" style="23" bestFit="1" customWidth="1"/>
    <col min="8711" max="8711" width="7.85546875" style="23" bestFit="1" customWidth="1"/>
    <col min="8712" max="8712" width="6.28515625" style="23" bestFit="1" customWidth="1"/>
    <col min="8713" max="8960" width="35.28515625" style="23"/>
    <col min="8961" max="8961" width="23.140625" style="23" bestFit="1" customWidth="1"/>
    <col min="8962" max="8962" width="23.85546875" style="23" bestFit="1" customWidth="1"/>
    <col min="8963" max="8963" width="10.140625" style="23" bestFit="1" customWidth="1"/>
    <col min="8964" max="8964" width="37.7109375" style="23" bestFit="1" customWidth="1"/>
    <col min="8965" max="8965" width="4.140625" style="23" bestFit="1" customWidth="1"/>
    <col min="8966" max="8966" width="5.5703125" style="23" bestFit="1" customWidth="1"/>
    <col min="8967" max="8967" width="7.85546875" style="23" bestFit="1" customWidth="1"/>
    <col min="8968" max="8968" width="6.28515625" style="23" bestFit="1" customWidth="1"/>
    <col min="8969" max="9216" width="35.28515625" style="23"/>
    <col min="9217" max="9217" width="23.140625" style="23" bestFit="1" customWidth="1"/>
    <col min="9218" max="9218" width="23.85546875" style="23" bestFit="1" customWidth="1"/>
    <col min="9219" max="9219" width="10.140625" style="23" bestFit="1" customWidth="1"/>
    <col min="9220" max="9220" width="37.7109375" style="23" bestFit="1" customWidth="1"/>
    <col min="9221" max="9221" width="4.140625" style="23" bestFit="1" customWidth="1"/>
    <col min="9222" max="9222" width="5.5703125" style="23" bestFit="1" customWidth="1"/>
    <col min="9223" max="9223" width="7.85546875" style="23" bestFit="1" customWidth="1"/>
    <col min="9224" max="9224" width="6.28515625" style="23" bestFit="1" customWidth="1"/>
    <col min="9225" max="9472" width="35.28515625" style="23"/>
    <col min="9473" max="9473" width="23.140625" style="23" bestFit="1" customWidth="1"/>
    <col min="9474" max="9474" width="23.85546875" style="23" bestFit="1" customWidth="1"/>
    <col min="9475" max="9475" width="10.140625" style="23" bestFit="1" customWidth="1"/>
    <col min="9476" max="9476" width="37.7109375" style="23" bestFit="1" customWidth="1"/>
    <col min="9477" max="9477" width="4.140625" style="23" bestFit="1" customWidth="1"/>
    <col min="9478" max="9478" width="5.5703125" style="23" bestFit="1" customWidth="1"/>
    <col min="9479" max="9479" width="7.85546875" style="23" bestFit="1" customWidth="1"/>
    <col min="9480" max="9480" width="6.28515625" style="23" bestFit="1" customWidth="1"/>
    <col min="9481" max="9728" width="35.28515625" style="23"/>
    <col min="9729" max="9729" width="23.140625" style="23" bestFit="1" customWidth="1"/>
    <col min="9730" max="9730" width="23.85546875" style="23" bestFit="1" customWidth="1"/>
    <col min="9731" max="9731" width="10.140625" style="23" bestFit="1" customWidth="1"/>
    <col min="9732" max="9732" width="37.7109375" style="23" bestFit="1" customWidth="1"/>
    <col min="9733" max="9733" width="4.140625" style="23" bestFit="1" customWidth="1"/>
    <col min="9734" max="9734" width="5.5703125" style="23" bestFit="1" customWidth="1"/>
    <col min="9735" max="9735" width="7.85546875" style="23" bestFit="1" customWidth="1"/>
    <col min="9736" max="9736" width="6.28515625" style="23" bestFit="1" customWidth="1"/>
    <col min="9737" max="9984" width="35.28515625" style="23"/>
    <col min="9985" max="9985" width="23.140625" style="23" bestFit="1" customWidth="1"/>
    <col min="9986" max="9986" width="23.85546875" style="23" bestFit="1" customWidth="1"/>
    <col min="9987" max="9987" width="10.140625" style="23" bestFit="1" customWidth="1"/>
    <col min="9988" max="9988" width="37.7109375" style="23" bestFit="1" customWidth="1"/>
    <col min="9989" max="9989" width="4.140625" style="23" bestFit="1" customWidth="1"/>
    <col min="9990" max="9990" width="5.5703125" style="23" bestFit="1" customWidth="1"/>
    <col min="9991" max="9991" width="7.85546875" style="23" bestFit="1" customWidth="1"/>
    <col min="9992" max="9992" width="6.28515625" style="23" bestFit="1" customWidth="1"/>
    <col min="9993" max="10240" width="35.28515625" style="23"/>
    <col min="10241" max="10241" width="23.140625" style="23" bestFit="1" customWidth="1"/>
    <col min="10242" max="10242" width="23.85546875" style="23" bestFit="1" customWidth="1"/>
    <col min="10243" max="10243" width="10.140625" style="23" bestFit="1" customWidth="1"/>
    <col min="10244" max="10244" width="37.7109375" style="23" bestFit="1" customWidth="1"/>
    <col min="10245" max="10245" width="4.140625" style="23" bestFit="1" customWidth="1"/>
    <col min="10246" max="10246" width="5.5703125" style="23" bestFit="1" customWidth="1"/>
    <col min="10247" max="10247" width="7.85546875" style="23" bestFit="1" customWidth="1"/>
    <col min="10248" max="10248" width="6.28515625" style="23" bestFit="1" customWidth="1"/>
    <col min="10249" max="10496" width="35.28515625" style="23"/>
    <col min="10497" max="10497" width="23.140625" style="23" bestFit="1" customWidth="1"/>
    <col min="10498" max="10498" width="23.85546875" style="23" bestFit="1" customWidth="1"/>
    <col min="10499" max="10499" width="10.140625" style="23" bestFit="1" customWidth="1"/>
    <col min="10500" max="10500" width="37.7109375" style="23" bestFit="1" customWidth="1"/>
    <col min="10501" max="10501" width="4.140625" style="23" bestFit="1" customWidth="1"/>
    <col min="10502" max="10502" width="5.5703125" style="23" bestFit="1" customWidth="1"/>
    <col min="10503" max="10503" width="7.85546875" style="23" bestFit="1" customWidth="1"/>
    <col min="10504" max="10504" width="6.28515625" style="23" bestFit="1" customWidth="1"/>
    <col min="10505" max="10752" width="35.28515625" style="23"/>
    <col min="10753" max="10753" width="23.140625" style="23" bestFit="1" customWidth="1"/>
    <col min="10754" max="10754" width="23.85546875" style="23" bestFit="1" customWidth="1"/>
    <col min="10755" max="10755" width="10.140625" style="23" bestFit="1" customWidth="1"/>
    <col min="10756" max="10756" width="37.7109375" style="23" bestFit="1" customWidth="1"/>
    <col min="10757" max="10757" width="4.140625" style="23" bestFit="1" customWidth="1"/>
    <col min="10758" max="10758" width="5.5703125" style="23" bestFit="1" customWidth="1"/>
    <col min="10759" max="10759" width="7.85546875" style="23" bestFit="1" customWidth="1"/>
    <col min="10760" max="10760" width="6.28515625" style="23" bestFit="1" customWidth="1"/>
    <col min="10761" max="11008" width="35.28515625" style="23"/>
    <col min="11009" max="11009" width="23.140625" style="23" bestFit="1" customWidth="1"/>
    <col min="11010" max="11010" width="23.85546875" style="23" bestFit="1" customWidth="1"/>
    <col min="11011" max="11011" width="10.140625" style="23" bestFit="1" customWidth="1"/>
    <col min="11012" max="11012" width="37.7109375" style="23" bestFit="1" customWidth="1"/>
    <col min="11013" max="11013" width="4.140625" style="23" bestFit="1" customWidth="1"/>
    <col min="11014" max="11014" width="5.5703125" style="23" bestFit="1" customWidth="1"/>
    <col min="11015" max="11015" width="7.85546875" style="23" bestFit="1" customWidth="1"/>
    <col min="11016" max="11016" width="6.28515625" style="23" bestFit="1" customWidth="1"/>
    <col min="11017" max="11264" width="35.28515625" style="23"/>
    <col min="11265" max="11265" width="23.140625" style="23" bestFit="1" customWidth="1"/>
    <col min="11266" max="11266" width="23.85546875" style="23" bestFit="1" customWidth="1"/>
    <col min="11267" max="11267" width="10.140625" style="23" bestFit="1" customWidth="1"/>
    <col min="11268" max="11268" width="37.7109375" style="23" bestFit="1" customWidth="1"/>
    <col min="11269" max="11269" width="4.140625" style="23" bestFit="1" customWidth="1"/>
    <col min="11270" max="11270" width="5.5703125" style="23" bestFit="1" customWidth="1"/>
    <col min="11271" max="11271" width="7.85546875" style="23" bestFit="1" customWidth="1"/>
    <col min="11272" max="11272" width="6.28515625" style="23" bestFit="1" customWidth="1"/>
    <col min="11273" max="11520" width="35.28515625" style="23"/>
    <col min="11521" max="11521" width="23.140625" style="23" bestFit="1" customWidth="1"/>
    <col min="11522" max="11522" width="23.85546875" style="23" bestFit="1" customWidth="1"/>
    <col min="11523" max="11523" width="10.140625" style="23" bestFit="1" customWidth="1"/>
    <col min="11524" max="11524" width="37.7109375" style="23" bestFit="1" customWidth="1"/>
    <col min="11525" max="11525" width="4.140625" style="23" bestFit="1" customWidth="1"/>
    <col min="11526" max="11526" width="5.5703125" style="23" bestFit="1" customWidth="1"/>
    <col min="11527" max="11527" width="7.85546875" style="23" bestFit="1" customWidth="1"/>
    <col min="11528" max="11528" width="6.28515625" style="23" bestFit="1" customWidth="1"/>
    <col min="11529" max="11776" width="35.28515625" style="23"/>
    <col min="11777" max="11777" width="23.140625" style="23" bestFit="1" customWidth="1"/>
    <col min="11778" max="11778" width="23.85546875" style="23" bestFit="1" customWidth="1"/>
    <col min="11779" max="11779" width="10.140625" style="23" bestFit="1" customWidth="1"/>
    <col min="11780" max="11780" width="37.7109375" style="23" bestFit="1" customWidth="1"/>
    <col min="11781" max="11781" width="4.140625" style="23" bestFit="1" customWidth="1"/>
    <col min="11782" max="11782" width="5.5703125" style="23" bestFit="1" customWidth="1"/>
    <col min="11783" max="11783" width="7.85546875" style="23" bestFit="1" customWidth="1"/>
    <col min="11784" max="11784" width="6.28515625" style="23" bestFit="1" customWidth="1"/>
    <col min="11785" max="12032" width="35.28515625" style="23"/>
    <col min="12033" max="12033" width="23.140625" style="23" bestFit="1" customWidth="1"/>
    <col min="12034" max="12034" width="23.85546875" style="23" bestFit="1" customWidth="1"/>
    <col min="12035" max="12035" width="10.140625" style="23" bestFit="1" customWidth="1"/>
    <col min="12036" max="12036" width="37.7109375" style="23" bestFit="1" customWidth="1"/>
    <col min="12037" max="12037" width="4.140625" style="23" bestFit="1" customWidth="1"/>
    <col min="12038" max="12038" width="5.5703125" style="23" bestFit="1" customWidth="1"/>
    <col min="12039" max="12039" width="7.85546875" style="23" bestFit="1" customWidth="1"/>
    <col min="12040" max="12040" width="6.28515625" style="23" bestFit="1" customWidth="1"/>
    <col min="12041" max="12288" width="35.28515625" style="23"/>
    <col min="12289" max="12289" width="23.140625" style="23" bestFit="1" customWidth="1"/>
    <col min="12290" max="12290" width="23.85546875" style="23" bestFit="1" customWidth="1"/>
    <col min="12291" max="12291" width="10.140625" style="23" bestFit="1" customWidth="1"/>
    <col min="12292" max="12292" width="37.7109375" style="23" bestFit="1" customWidth="1"/>
    <col min="12293" max="12293" width="4.140625" style="23" bestFit="1" customWidth="1"/>
    <col min="12294" max="12294" width="5.5703125" style="23" bestFit="1" customWidth="1"/>
    <col min="12295" max="12295" width="7.85546875" style="23" bestFit="1" customWidth="1"/>
    <col min="12296" max="12296" width="6.28515625" style="23" bestFit="1" customWidth="1"/>
    <col min="12297" max="12544" width="35.28515625" style="23"/>
    <col min="12545" max="12545" width="23.140625" style="23" bestFit="1" customWidth="1"/>
    <col min="12546" max="12546" width="23.85546875" style="23" bestFit="1" customWidth="1"/>
    <col min="12547" max="12547" width="10.140625" style="23" bestFit="1" customWidth="1"/>
    <col min="12548" max="12548" width="37.7109375" style="23" bestFit="1" customWidth="1"/>
    <col min="12549" max="12549" width="4.140625" style="23" bestFit="1" customWidth="1"/>
    <col min="12550" max="12550" width="5.5703125" style="23" bestFit="1" customWidth="1"/>
    <col min="12551" max="12551" width="7.85546875" style="23" bestFit="1" customWidth="1"/>
    <col min="12552" max="12552" width="6.28515625" style="23" bestFit="1" customWidth="1"/>
    <col min="12553" max="12800" width="35.28515625" style="23"/>
    <col min="12801" max="12801" width="23.140625" style="23" bestFit="1" customWidth="1"/>
    <col min="12802" max="12802" width="23.85546875" style="23" bestFit="1" customWidth="1"/>
    <col min="12803" max="12803" width="10.140625" style="23" bestFit="1" customWidth="1"/>
    <col min="12804" max="12804" width="37.7109375" style="23" bestFit="1" customWidth="1"/>
    <col min="12805" max="12805" width="4.140625" style="23" bestFit="1" customWidth="1"/>
    <col min="12806" max="12806" width="5.5703125" style="23" bestFit="1" customWidth="1"/>
    <col min="12807" max="12807" width="7.85546875" style="23" bestFit="1" customWidth="1"/>
    <col min="12808" max="12808" width="6.28515625" style="23" bestFit="1" customWidth="1"/>
    <col min="12809" max="13056" width="35.28515625" style="23"/>
    <col min="13057" max="13057" width="23.140625" style="23" bestFit="1" customWidth="1"/>
    <col min="13058" max="13058" width="23.85546875" style="23" bestFit="1" customWidth="1"/>
    <col min="13059" max="13059" width="10.140625" style="23" bestFit="1" customWidth="1"/>
    <col min="13060" max="13060" width="37.7109375" style="23" bestFit="1" customWidth="1"/>
    <col min="13061" max="13061" width="4.140625" style="23" bestFit="1" customWidth="1"/>
    <col min="13062" max="13062" width="5.5703125" style="23" bestFit="1" customWidth="1"/>
    <col min="13063" max="13063" width="7.85546875" style="23" bestFit="1" customWidth="1"/>
    <col min="13064" max="13064" width="6.28515625" style="23" bestFit="1" customWidth="1"/>
    <col min="13065" max="13312" width="35.28515625" style="23"/>
    <col min="13313" max="13313" width="23.140625" style="23" bestFit="1" customWidth="1"/>
    <col min="13314" max="13314" width="23.85546875" style="23" bestFit="1" customWidth="1"/>
    <col min="13315" max="13315" width="10.140625" style="23" bestFit="1" customWidth="1"/>
    <col min="13316" max="13316" width="37.7109375" style="23" bestFit="1" customWidth="1"/>
    <col min="13317" max="13317" width="4.140625" style="23" bestFit="1" customWidth="1"/>
    <col min="13318" max="13318" width="5.5703125" style="23" bestFit="1" customWidth="1"/>
    <col min="13319" max="13319" width="7.85546875" style="23" bestFit="1" customWidth="1"/>
    <col min="13320" max="13320" width="6.28515625" style="23" bestFit="1" customWidth="1"/>
    <col min="13321" max="13568" width="35.28515625" style="23"/>
    <col min="13569" max="13569" width="23.140625" style="23" bestFit="1" customWidth="1"/>
    <col min="13570" max="13570" width="23.85546875" style="23" bestFit="1" customWidth="1"/>
    <col min="13571" max="13571" width="10.140625" style="23" bestFit="1" customWidth="1"/>
    <col min="13572" max="13572" width="37.7109375" style="23" bestFit="1" customWidth="1"/>
    <col min="13573" max="13573" width="4.140625" style="23" bestFit="1" customWidth="1"/>
    <col min="13574" max="13574" width="5.5703125" style="23" bestFit="1" customWidth="1"/>
    <col min="13575" max="13575" width="7.85546875" style="23" bestFit="1" customWidth="1"/>
    <col min="13576" max="13576" width="6.28515625" style="23" bestFit="1" customWidth="1"/>
    <col min="13577" max="13824" width="35.28515625" style="23"/>
    <col min="13825" max="13825" width="23.140625" style="23" bestFit="1" customWidth="1"/>
    <col min="13826" max="13826" width="23.85546875" style="23" bestFit="1" customWidth="1"/>
    <col min="13827" max="13827" width="10.140625" style="23" bestFit="1" customWidth="1"/>
    <col min="13828" max="13828" width="37.7109375" style="23" bestFit="1" customWidth="1"/>
    <col min="13829" max="13829" width="4.140625" style="23" bestFit="1" customWidth="1"/>
    <col min="13830" max="13830" width="5.5703125" style="23" bestFit="1" customWidth="1"/>
    <col min="13831" max="13831" width="7.85546875" style="23" bestFit="1" customWidth="1"/>
    <col min="13832" max="13832" width="6.28515625" style="23" bestFit="1" customWidth="1"/>
    <col min="13833" max="14080" width="35.28515625" style="23"/>
    <col min="14081" max="14081" width="23.140625" style="23" bestFit="1" customWidth="1"/>
    <col min="14082" max="14082" width="23.85546875" style="23" bestFit="1" customWidth="1"/>
    <col min="14083" max="14083" width="10.140625" style="23" bestFit="1" customWidth="1"/>
    <col min="14084" max="14084" width="37.7109375" style="23" bestFit="1" customWidth="1"/>
    <col min="14085" max="14085" width="4.140625" style="23" bestFit="1" customWidth="1"/>
    <col min="14086" max="14086" width="5.5703125" style="23" bestFit="1" customWidth="1"/>
    <col min="14087" max="14087" width="7.85546875" style="23" bestFit="1" customWidth="1"/>
    <col min="14088" max="14088" width="6.28515625" style="23" bestFit="1" customWidth="1"/>
    <col min="14089" max="14336" width="35.28515625" style="23"/>
    <col min="14337" max="14337" width="23.140625" style="23" bestFit="1" customWidth="1"/>
    <col min="14338" max="14338" width="23.85546875" style="23" bestFit="1" customWidth="1"/>
    <col min="14339" max="14339" width="10.140625" style="23" bestFit="1" customWidth="1"/>
    <col min="14340" max="14340" width="37.7109375" style="23" bestFit="1" customWidth="1"/>
    <col min="14341" max="14341" width="4.140625" style="23" bestFit="1" customWidth="1"/>
    <col min="14342" max="14342" width="5.5703125" style="23" bestFit="1" customWidth="1"/>
    <col min="14343" max="14343" width="7.85546875" style="23" bestFit="1" customWidth="1"/>
    <col min="14344" max="14344" width="6.28515625" style="23" bestFit="1" customWidth="1"/>
    <col min="14345" max="14592" width="35.28515625" style="23"/>
    <col min="14593" max="14593" width="23.140625" style="23" bestFit="1" customWidth="1"/>
    <col min="14594" max="14594" width="23.85546875" style="23" bestFit="1" customWidth="1"/>
    <col min="14595" max="14595" width="10.140625" style="23" bestFit="1" customWidth="1"/>
    <col min="14596" max="14596" width="37.7109375" style="23" bestFit="1" customWidth="1"/>
    <col min="14597" max="14597" width="4.140625" style="23" bestFit="1" customWidth="1"/>
    <col min="14598" max="14598" width="5.5703125" style="23" bestFit="1" customWidth="1"/>
    <col min="14599" max="14599" width="7.85546875" style="23" bestFit="1" customWidth="1"/>
    <col min="14600" max="14600" width="6.28515625" style="23" bestFit="1" customWidth="1"/>
    <col min="14601" max="14848" width="35.28515625" style="23"/>
    <col min="14849" max="14849" width="23.140625" style="23" bestFit="1" customWidth="1"/>
    <col min="14850" max="14850" width="23.85546875" style="23" bestFit="1" customWidth="1"/>
    <col min="14851" max="14851" width="10.140625" style="23" bestFit="1" customWidth="1"/>
    <col min="14852" max="14852" width="37.7109375" style="23" bestFit="1" customWidth="1"/>
    <col min="14853" max="14853" width="4.140625" style="23" bestFit="1" customWidth="1"/>
    <col min="14854" max="14854" width="5.5703125" style="23" bestFit="1" customWidth="1"/>
    <col min="14855" max="14855" width="7.85546875" style="23" bestFit="1" customWidth="1"/>
    <col min="14856" max="14856" width="6.28515625" style="23" bestFit="1" customWidth="1"/>
    <col min="14857" max="15104" width="35.28515625" style="23"/>
    <col min="15105" max="15105" width="23.140625" style="23" bestFit="1" customWidth="1"/>
    <col min="15106" max="15106" width="23.85546875" style="23" bestFit="1" customWidth="1"/>
    <col min="15107" max="15107" width="10.140625" style="23" bestFit="1" customWidth="1"/>
    <col min="15108" max="15108" width="37.7109375" style="23" bestFit="1" customWidth="1"/>
    <col min="15109" max="15109" width="4.140625" style="23" bestFit="1" customWidth="1"/>
    <col min="15110" max="15110" width="5.5703125" style="23" bestFit="1" customWidth="1"/>
    <col min="15111" max="15111" width="7.85546875" style="23" bestFit="1" customWidth="1"/>
    <col min="15112" max="15112" width="6.28515625" style="23" bestFit="1" customWidth="1"/>
    <col min="15113" max="15360" width="35.28515625" style="23"/>
    <col min="15361" max="15361" width="23.140625" style="23" bestFit="1" customWidth="1"/>
    <col min="15362" max="15362" width="23.85546875" style="23" bestFit="1" customWidth="1"/>
    <col min="15363" max="15363" width="10.140625" style="23" bestFit="1" customWidth="1"/>
    <col min="15364" max="15364" width="37.7109375" style="23" bestFit="1" customWidth="1"/>
    <col min="15365" max="15365" width="4.140625" style="23" bestFit="1" customWidth="1"/>
    <col min="15366" max="15366" width="5.5703125" style="23" bestFit="1" customWidth="1"/>
    <col min="15367" max="15367" width="7.85546875" style="23" bestFit="1" customWidth="1"/>
    <col min="15368" max="15368" width="6.28515625" style="23" bestFit="1" customWidth="1"/>
    <col min="15369" max="15616" width="35.28515625" style="23"/>
    <col min="15617" max="15617" width="23.140625" style="23" bestFit="1" customWidth="1"/>
    <col min="15618" max="15618" width="23.85546875" style="23" bestFit="1" customWidth="1"/>
    <col min="15619" max="15619" width="10.140625" style="23" bestFit="1" customWidth="1"/>
    <col min="15620" max="15620" width="37.7109375" style="23" bestFit="1" customWidth="1"/>
    <col min="15621" max="15621" width="4.140625" style="23" bestFit="1" customWidth="1"/>
    <col min="15622" max="15622" width="5.5703125" style="23" bestFit="1" customWidth="1"/>
    <col min="15623" max="15623" width="7.85546875" style="23" bestFit="1" customWidth="1"/>
    <col min="15624" max="15624" width="6.28515625" style="23" bestFit="1" customWidth="1"/>
    <col min="15625" max="15872" width="35.28515625" style="23"/>
    <col min="15873" max="15873" width="23.140625" style="23" bestFit="1" customWidth="1"/>
    <col min="15874" max="15874" width="23.85546875" style="23" bestFit="1" customWidth="1"/>
    <col min="15875" max="15875" width="10.140625" style="23" bestFit="1" customWidth="1"/>
    <col min="15876" max="15876" width="37.7109375" style="23" bestFit="1" customWidth="1"/>
    <col min="15877" max="15877" width="4.140625" style="23" bestFit="1" customWidth="1"/>
    <col min="15878" max="15878" width="5.5703125" style="23" bestFit="1" customWidth="1"/>
    <col min="15879" max="15879" width="7.85546875" style="23" bestFit="1" customWidth="1"/>
    <col min="15880" max="15880" width="6.28515625" style="23" bestFit="1" customWidth="1"/>
    <col min="15881" max="16128" width="35.28515625" style="23"/>
    <col min="16129" max="16129" width="23.140625" style="23" bestFit="1" customWidth="1"/>
    <col min="16130" max="16130" width="23.85546875" style="23" bestFit="1" customWidth="1"/>
    <col min="16131" max="16131" width="10.140625" style="23" bestFit="1" customWidth="1"/>
    <col min="16132" max="16132" width="37.7109375" style="23" bestFit="1" customWidth="1"/>
    <col min="16133" max="16133" width="4.140625" style="23" bestFit="1" customWidth="1"/>
    <col min="16134" max="16134" width="5.5703125" style="23" bestFit="1" customWidth="1"/>
    <col min="16135" max="16135" width="7.85546875" style="23" bestFit="1" customWidth="1"/>
    <col min="16136" max="16136" width="6.28515625" style="23" bestFit="1" customWidth="1"/>
    <col min="16137" max="16384" width="35.28515625" style="23"/>
  </cols>
  <sheetData>
    <row r="2" spans="1:8" ht="15.75" x14ac:dyDescent="0.2">
      <c r="A2" s="69" t="s">
        <v>65</v>
      </c>
      <c r="B2" s="69"/>
      <c r="C2" s="69"/>
      <c r="D2" s="69"/>
      <c r="E2" s="69"/>
      <c r="F2" s="69"/>
      <c r="G2" s="69"/>
      <c r="H2" s="69"/>
    </row>
    <row r="4" spans="1:8" ht="12.75" x14ac:dyDescent="0.2">
      <c r="A4" s="70" t="s">
        <v>66</v>
      </c>
      <c r="B4" s="71"/>
      <c r="C4" s="71"/>
      <c r="D4" s="71"/>
      <c r="E4" s="71"/>
      <c r="F4" s="71"/>
      <c r="G4" s="71"/>
      <c r="H4" s="71"/>
    </row>
    <row r="7" spans="1:8" x14ac:dyDescent="0.2">
      <c r="A7" s="27" t="s">
        <v>67</v>
      </c>
      <c r="B7" s="28" t="s">
        <v>68</v>
      </c>
      <c r="C7" s="27" t="s">
        <v>69</v>
      </c>
      <c r="D7" s="28" t="s">
        <v>70</v>
      </c>
      <c r="E7" s="27" t="s">
        <v>71</v>
      </c>
      <c r="F7" s="27" t="s">
        <v>72</v>
      </c>
      <c r="G7" s="27" t="s">
        <v>73</v>
      </c>
      <c r="H7" s="27" t="s">
        <v>74</v>
      </c>
    </row>
    <row r="8" spans="1:8" x14ac:dyDescent="0.2">
      <c r="A8" s="72" t="s">
        <v>75</v>
      </c>
      <c r="B8" s="72"/>
      <c r="C8" s="72"/>
      <c r="D8" s="72"/>
      <c r="E8" s="72"/>
      <c r="F8" s="72"/>
      <c r="G8" s="72"/>
      <c r="H8" s="72"/>
    </row>
    <row r="9" spans="1:8" x14ac:dyDescent="0.2">
      <c r="A9" s="29" t="s">
        <v>1</v>
      </c>
      <c r="B9" s="30" t="s">
        <v>76</v>
      </c>
      <c r="C9" s="31" t="s">
        <v>77</v>
      </c>
      <c r="D9" s="30" t="s">
        <v>78</v>
      </c>
      <c r="E9" s="31" t="s">
        <v>79</v>
      </c>
      <c r="F9" s="32">
        <v>1</v>
      </c>
      <c r="G9" s="32">
        <v>7</v>
      </c>
      <c r="H9" s="32">
        <f t="shared" ref="H9:H58" si="0">F9+G9-1</f>
        <v>7</v>
      </c>
    </row>
    <row r="10" spans="1:8" x14ac:dyDescent="0.2">
      <c r="A10" s="29" t="s">
        <v>2</v>
      </c>
      <c r="B10" s="30" t="s">
        <v>80</v>
      </c>
      <c r="C10" s="31" t="s">
        <v>77</v>
      </c>
      <c r="D10" s="30" t="s">
        <v>81</v>
      </c>
      <c r="E10" s="31" t="s">
        <v>79</v>
      </c>
      <c r="F10" s="32">
        <f t="shared" ref="F10:F58" si="1">F9+G9</f>
        <v>8</v>
      </c>
      <c r="G10" s="32">
        <v>4</v>
      </c>
      <c r="H10" s="32">
        <f t="shared" si="0"/>
        <v>11</v>
      </c>
    </row>
    <row r="11" spans="1:8" x14ac:dyDescent="0.2">
      <c r="A11" s="29" t="s">
        <v>3</v>
      </c>
      <c r="B11" s="30" t="s">
        <v>82</v>
      </c>
      <c r="C11" s="31" t="s">
        <v>77</v>
      </c>
      <c r="D11" s="30" t="s">
        <v>83</v>
      </c>
      <c r="E11" s="31" t="s">
        <v>79</v>
      </c>
      <c r="F11" s="32">
        <f t="shared" si="1"/>
        <v>12</v>
      </c>
      <c r="G11" s="32">
        <v>2</v>
      </c>
      <c r="H11" s="32">
        <f t="shared" si="0"/>
        <v>13</v>
      </c>
    </row>
    <row r="12" spans="1:8" x14ac:dyDescent="0.2">
      <c r="A12" s="29" t="s">
        <v>4</v>
      </c>
      <c r="B12" s="30" t="s">
        <v>84</v>
      </c>
      <c r="C12" s="31" t="s">
        <v>77</v>
      </c>
      <c r="D12" s="30" t="s">
        <v>85</v>
      </c>
      <c r="E12" s="31" t="s">
        <v>79</v>
      </c>
      <c r="F12" s="32">
        <f t="shared" si="1"/>
        <v>14</v>
      </c>
      <c r="G12" s="32">
        <v>2</v>
      </c>
      <c r="H12" s="32">
        <f t="shared" si="0"/>
        <v>15</v>
      </c>
    </row>
    <row r="13" spans="1:8" ht="22.5" x14ac:dyDescent="0.2">
      <c r="A13" s="29" t="s">
        <v>5</v>
      </c>
      <c r="B13" s="30" t="s">
        <v>86</v>
      </c>
      <c r="C13" s="31" t="s">
        <v>77</v>
      </c>
      <c r="D13" s="30" t="s">
        <v>87</v>
      </c>
      <c r="E13" s="31" t="s">
        <v>79</v>
      </c>
      <c r="F13" s="32">
        <f t="shared" si="1"/>
        <v>16</v>
      </c>
      <c r="G13" s="32">
        <v>3</v>
      </c>
      <c r="H13" s="32">
        <f t="shared" si="0"/>
        <v>18</v>
      </c>
    </row>
    <row r="14" spans="1:8" ht="56.25" x14ac:dyDescent="0.2">
      <c r="A14" s="29" t="s">
        <v>6</v>
      </c>
      <c r="B14" s="30" t="s">
        <v>88</v>
      </c>
      <c r="C14" s="31" t="s">
        <v>77</v>
      </c>
      <c r="D14" s="30" t="s">
        <v>89</v>
      </c>
      <c r="E14" s="31" t="s">
        <v>79</v>
      </c>
      <c r="F14" s="32">
        <f t="shared" si="1"/>
        <v>19</v>
      </c>
      <c r="G14" s="30">
        <v>1</v>
      </c>
      <c r="H14" s="32">
        <f t="shared" si="0"/>
        <v>19</v>
      </c>
    </row>
    <row r="15" spans="1:8" ht="45" x14ac:dyDescent="0.2">
      <c r="A15" s="29" t="s">
        <v>7</v>
      </c>
      <c r="B15" s="30" t="s">
        <v>90</v>
      </c>
      <c r="C15" s="31" t="s">
        <v>77</v>
      </c>
      <c r="D15" s="30" t="s">
        <v>91</v>
      </c>
      <c r="E15" s="31" t="s">
        <v>79</v>
      </c>
      <c r="F15" s="32">
        <f t="shared" si="1"/>
        <v>20</v>
      </c>
      <c r="G15" s="32">
        <v>1</v>
      </c>
      <c r="H15" s="32">
        <f t="shared" si="0"/>
        <v>20</v>
      </c>
    </row>
    <row r="16" spans="1:8" ht="45" x14ac:dyDescent="0.2">
      <c r="A16" s="29" t="s">
        <v>8</v>
      </c>
      <c r="B16" s="30" t="s">
        <v>92</v>
      </c>
      <c r="C16" s="31" t="s">
        <v>77</v>
      </c>
      <c r="D16" s="30" t="s">
        <v>93</v>
      </c>
      <c r="E16" s="31" t="s">
        <v>79</v>
      </c>
      <c r="F16" s="32">
        <f t="shared" si="1"/>
        <v>21</v>
      </c>
      <c r="G16" s="30">
        <v>1</v>
      </c>
      <c r="H16" s="32">
        <f t="shared" si="0"/>
        <v>21</v>
      </c>
    </row>
    <row r="17" spans="1:9" ht="22.5" x14ac:dyDescent="0.2">
      <c r="A17" s="29" t="s">
        <v>9</v>
      </c>
      <c r="B17" s="30" t="s">
        <v>94</v>
      </c>
      <c r="C17" s="31" t="s">
        <v>95</v>
      </c>
      <c r="D17" s="30" t="s">
        <v>96</v>
      </c>
      <c r="E17" s="31" t="s">
        <v>79</v>
      </c>
      <c r="F17" s="32">
        <f t="shared" si="1"/>
        <v>22</v>
      </c>
      <c r="G17" s="32">
        <v>3</v>
      </c>
      <c r="H17" s="32">
        <f t="shared" si="0"/>
        <v>24</v>
      </c>
      <c r="I17" s="63" t="s">
        <v>276</v>
      </c>
    </row>
    <row r="18" spans="1:9" x14ac:dyDescent="0.2">
      <c r="A18" s="29" t="s">
        <v>10</v>
      </c>
      <c r="B18" s="30" t="s">
        <v>97</v>
      </c>
      <c r="C18" s="31" t="s">
        <v>95</v>
      </c>
      <c r="D18" s="30" t="s">
        <v>98</v>
      </c>
      <c r="E18" s="31" t="s">
        <v>79</v>
      </c>
      <c r="F18" s="32">
        <f t="shared" si="1"/>
        <v>25</v>
      </c>
      <c r="G18" s="32">
        <v>3</v>
      </c>
      <c r="H18" s="32">
        <f t="shared" si="0"/>
        <v>27</v>
      </c>
    </row>
    <row r="19" spans="1:9" x14ac:dyDescent="0.2">
      <c r="A19" s="29" t="s">
        <v>11</v>
      </c>
      <c r="B19" s="30" t="s">
        <v>99</v>
      </c>
      <c r="C19" s="31" t="s">
        <v>77</v>
      </c>
      <c r="D19" s="30" t="s">
        <v>99</v>
      </c>
      <c r="E19" s="31" t="s">
        <v>79</v>
      </c>
      <c r="F19" s="32">
        <f t="shared" si="1"/>
        <v>28</v>
      </c>
      <c r="G19" s="32">
        <v>8</v>
      </c>
      <c r="H19" s="32">
        <f t="shared" si="0"/>
        <v>35</v>
      </c>
    </row>
    <row r="20" spans="1:9" x14ac:dyDescent="0.2">
      <c r="A20" s="29" t="s">
        <v>12</v>
      </c>
      <c r="B20" s="30" t="s">
        <v>100</v>
      </c>
      <c r="C20" s="31" t="s">
        <v>95</v>
      </c>
      <c r="D20" s="30" t="s">
        <v>101</v>
      </c>
      <c r="E20" s="31" t="s">
        <v>79</v>
      </c>
      <c r="F20" s="32">
        <f t="shared" si="1"/>
        <v>36</v>
      </c>
      <c r="G20" s="32">
        <v>8</v>
      </c>
      <c r="H20" s="32">
        <f t="shared" si="0"/>
        <v>43</v>
      </c>
    </row>
    <row r="21" spans="1:9" ht="22.5" x14ac:dyDescent="0.2">
      <c r="A21" s="29" t="s">
        <v>13</v>
      </c>
      <c r="B21" s="30" t="s">
        <v>102</v>
      </c>
      <c r="C21" s="31" t="s">
        <v>77</v>
      </c>
      <c r="D21" s="30" t="s">
        <v>103</v>
      </c>
      <c r="E21" s="31" t="s">
        <v>79</v>
      </c>
      <c r="F21" s="32">
        <f t="shared" si="1"/>
        <v>44</v>
      </c>
      <c r="G21" s="32">
        <v>3</v>
      </c>
      <c r="H21" s="32">
        <f t="shared" si="0"/>
        <v>46</v>
      </c>
    </row>
    <row r="22" spans="1:9" ht="22.5" x14ac:dyDescent="0.2">
      <c r="A22" s="29" t="s">
        <v>14</v>
      </c>
      <c r="B22" s="30" t="s">
        <v>104</v>
      </c>
      <c r="C22" s="31" t="s">
        <v>77</v>
      </c>
      <c r="D22" s="30" t="s">
        <v>105</v>
      </c>
      <c r="E22" s="31" t="s">
        <v>79</v>
      </c>
      <c r="F22" s="32">
        <f t="shared" si="1"/>
        <v>47</v>
      </c>
      <c r="G22" s="32">
        <v>1</v>
      </c>
      <c r="H22" s="32">
        <f t="shared" si="0"/>
        <v>47</v>
      </c>
    </row>
    <row r="23" spans="1:9" ht="56.25" x14ac:dyDescent="0.2">
      <c r="A23" s="29" t="s">
        <v>15</v>
      </c>
      <c r="B23" s="30" t="s">
        <v>106</v>
      </c>
      <c r="C23" s="31" t="s">
        <v>77</v>
      </c>
      <c r="D23" s="30" t="s">
        <v>107</v>
      </c>
      <c r="E23" s="31" t="s">
        <v>79</v>
      </c>
      <c r="F23" s="32">
        <f t="shared" si="1"/>
        <v>48</v>
      </c>
      <c r="G23" s="32">
        <v>1</v>
      </c>
      <c r="H23" s="32">
        <f t="shared" si="0"/>
        <v>48</v>
      </c>
      <c r="I23" s="63" t="s">
        <v>108</v>
      </c>
    </row>
    <row r="24" spans="1:9" x14ac:dyDescent="0.2">
      <c r="A24" s="29" t="s">
        <v>16</v>
      </c>
      <c r="B24" s="30" t="s">
        <v>109</v>
      </c>
      <c r="C24" s="31" t="s">
        <v>95</v>
      </c>
      <c r="D24" s="30" t="s">
        <v>110</v>
      </c>
      <c r="E24" s="31" t="s">
        <v>79</v>
      </c>
      <c r="F24" s="32">
        <f t="shared" si="1"/>
        <v>49</v>
      </c>
      <c r="G24" s="32">
        <v>15</v>
      </c>
      <c r="H24" s="32">
        <f t="shared" si="0"/>
        <v>63</v>
      </c>
    </row>
    <row r="25" spans="1:9" ht="22.5" x14ac:dyDescent="0.2">
      <c r="A25" s="29" t="s">
        <v>17</v>
      </c>
      <c r="B25" s="30" t="s">
        <v>111</v>
      </c>
      <c r="C25" s="31" t="s">
        <v>95</v>
      </c>
      <c r="D25" s="30" t="s">
        <v>112</v>
      </c>
      <c r="E25" s="31" t="s">
        <v>79</v>
      </c>
      <c r="F25" s="32">
        <f t="shared" si="1"/>
        <v>64</v>
      </c>
      <c r="G25" s="32">
        <v>3</v>
      </c>
      <c r="H25" s="32">
        <f t="shared" si="0"/>
        <v>66</v>
      </c>
    </row>
    <row r="26" spans="1:9" ht="22.5" x14ac:dyDescent="0.2">
      <c r="A26" s="29" t="s">
        <v>18</v>
      </c>
      <c r="B26" s="30" t="s">
        <v>113</v>
      </c>
      <c r="C26" s="31" t="s">
        <v>95</v>
      </c>
      <c r="D26" s="30" t="s">
        <v>114</v>
      </c>
      <c r="E26" s="31" t="s">
        <v>79</v>
      </c>
      <c r="F26" s="32">
        <f t="shared" si="1"/>
        <v>67</v>
      </c>
      <c r="G26" s="32">
        <v>15</v>
      </c>
      <c r="H26" s="32">
        <f t="shared" si="0"/>
        <v>81</v>
      </c>
    </row>
    <row r="27" spans="1:9" ht="22.5" x14ac:dyDescent="0.2">
      <c r="A27" s="29" t="s">
        <v>19</v>
      </c>
      <c r="B27" s="30" t="s">
        <v>115</v>
      </c>
      <c r="C27" s="31" t="s">
        <v>95</v>
      </c>
      <c r="D27" s="30" t="s">
        <v>116</v>
      </c>
      <c r="E27" s="31" t="s">
        <v>79</v>
      </c>
      <c r="F27" s="32">
        <f t="shared" si="1"/>
        <v>82</v>
      </c>
      <c r="G27" s="32">
        <v>3</v>
      </c>
      <c r="H27" s="32">
        <f t="shared" si="0"/>
        <v>84</v>
      </c>
    </row>
    <row r="28" spans="1:9" ht="22.5" x14ac:dyDescent="0.2">
      <c r="A28" s="33" t="s">
        <v>20</v>
      </c>
      <c r="B28" s="30" t="s">
        <v>117</v>
      </c>
      <c r="C28" s="31" t="s">
        <v>95</v>
      </c>
      <c r="D28" s="30" t="s">
        <v>118</v>
      </c>
      <c r="E28" s="31" t="s">
        <v>119</v>
      </c>
      <c r="F28" s="32">
        <f t="shared" si="1"/>
        <v>85</v>
      </c>
      <c r="G28" s="32">
        <v>4</v>
      </c>
      <c r="H28" s="32">
        <f t="shared" si="0"/>
        <v>88</v>
      </c>
    </row>
    <row r="29" spans="1:9" ht="22.5" x14ac:dyDescent="0.2">
      <c r="A29" s="33" t="s">
        <v>21</v>
      </c>
      <c r="B29" s="30" t="s">
        <v>120</v>
      </c>
      <c r="C29" s="31" t="s">
        <v>95</v>
      </c>
      <c r="D29" s="30" t="s">
        <v>96</v>
      </c>
      <c r="E29" s="31" t="s">
        <v>79</v>
      </c>
      <c r="F29" s="32">
        <f t="shared" si="1"/>
        <v>89</v>
      </c>
      <c r="G29" s="32">
        <v>3</v>
      </c>
      <c r="H29" s="32">
        <f t="shared" si="0"/>
        <v>91</v>
      </c>
      <c r="I29" s="63" t="s">
        <v>276</v>
      </c>
    </row>
    <row r="30" spans="1:9" x14ac:dyDescent="0.2">
      <c r="A30" s="33" t="s">
        <v>22</v>
      </c>
      <c r="B30" s="30" t="s">
        <v>121</v>
      </c>
      <c r="C30" s="31" t="s">
        <v>122</v>
      </c>
      <c r="D30" s="30" t="s">
        <v>101</v>
      </c>
      <c r="E30" s="31" t="s">
        <v>79</v>
      </c>
      <c r="F30" s="32">
        <f t="shared" si="1"/>
        <v>92</v>
      </c>
      <c r="G30" s="32">
        <v>8</v>
      </c>
      <c r="H30" s="32">
        <f t="shared" si="0"/>
        <v>99</v>
      </c>
    </row>
    <row r="31" spans="1:9" ht="22.5" x14ac:dyDescent="0.2">
      <c r="A31" s="33" t="s">
        <v>23</v>
      </c>
      <c r="B31" s="30" t="s">
        <v>123</v>
      </c>
      <c r="C31" s="31" t="s">
        <v>77</v>
      </c>
      <c r="D31" s="30" t="s">
        <v>124</v>
      </c>
      <c r="E31" s="31" t="s">
        <v>79</v>
      </c>
      <c r="F31" s="32">
        <f t="shared" si="1"/>
        <v>100</v>
      </c>
      <c r="G31" s="32">
        <v>3</v>
      </c>
      <c r="H31" s="32">
        <f t="shared" si="0"/>
        <v>102</v>
      </c>
    </row>
    <row r="32" spans="1:9" x14ac:dyDescent="0.2">
      <c r="A32" s="33" t="s">
        <v>24</v>
      </c>
      <c r="B32" s="30" t="s">
        <v>125</v>
      </c>
      <c r="C32" s="31" t="s">
        <v>95</v>
      </c>
      <c r="D32" s="30" t="s">
        <v>126</v>
      </c>
      <c r="E32" s="31" t="s">
        <v>119</v>
      </c>
      <c r="F32" s="32">
        <f t="shared" si="1"/>
        <v>103</v>
      </c>
      <c r="G32" s="32">
        <v>15</v>
      </c>
      <c r="H32" s="32">
        <f t="shared" si="0"/>
        <v>117</v>
      </c>
    </row>
    <row r="33" spans="1:256" x14ac:dyDescent="0.2">
      <c r="A33" s="33" t="s">
        <v>25</v>
      </c>
      <c r="B33" s="30" t="s">
        <v>127</v>
      </c>
      <c r="C33" s="31" t="s">
        <v>95</v>
      </c>
      <c r="D33" s="30" t="s">
        <v>128</v>
      </c>
      <c r="E33" s="31" t="s">
        <v>119</v>
      </c>
      <c r="F33" s="32">
        <f t="shared" si="1"/>
        <v>118</v>
      </c>
      <c r="G33" s="32">
        <v>10</v>
      </c>
      <c r="H33" s="32">
        <f t="shared" si="0"/>
        <v>127</v>
      </c>
    </row>
    <row r="34" spans="1:256" x14ac:dyDescent="0.2">
      <c r="A34" s="33" t="s">
        <v>26</v>
      </c>
      <c r="B34" s="30" t="s">
        <v>129</v>
      </c>
      <c r="C34" s="31" t="s">
        <v>95</v>
      </c>
      <c r="D34" s="30" t="s">
        <v>130</v>
      </c>
      <c r="E34" s="31" t="s">
        <v>119</v>
      </c>
      <c r="F34" s="32">
        <f t="shared" si="1"/>
        <v>128</v>
      </c>
      <c r="G34" s="32">
        <v>10</v>
      </c>
      <c r="H34" s="32">
        <f t="shared" si="0"/>
        <v>137</v>
      </c>
    </row>
    <row r="35" spans="1:256" ht="22.5" x14ac:dyDescent="0.2">
      <c r="A35" s="33" t="s">
        <v>27</v>
      </c>
      <c r="B35" s="30" t="s">
        <v>131</v>
      </c>
      <c r="C35" s="31" t="s">
        <v>95</v>
      </c>
      <c r="D35" s="30" t="s">
        <v>132</v>
      </c>
      <c r="E35" s="31" t="s">
        <v>79</v>
      </c>
      <c r="F35" s="32">
        <f t="shared" si="1"/>
        <v>138</v>
      </c>
      <c r="G35" s="32">
        <v>3</v>
      </c>
      <c r="H35" s="32">
        <f t="shared" si="0"/>
        <v>140</v>
      </c>
    </row>
    <row r="36" spans="1:256" ht="22.5" x14ac:dyDescent="0.2">
      <c r="A36" s="33" t="s">
        <v>28</v>
      </c>
      <c r="B36" s="30" t="s">
        <v>133</v>
      </c>
      <c r="C36" s="31" t="s">
        <v>95</v>
      </c>
      <c r="D36" s="34" t="s">
        <v>134</v>
      </c>
      <c r="E36" s="31" t="s">
        <v>79</v>
      </c>
      <c r="F36" s="32">
        <f t="shared" si="1"/>
        <v>141</v>
      </c>
      <c r="G36" s="32">
        <v>3</v>
      </c>
      <c r="H36" s="32">
        <f t="shared" si="0"/>
        <v>143</v>
      </c>
    </row>
    <row r="37" spans="1:256" ht="56.25" x14ac:dyDescent="0.2">
      <c r="A37" s="33" t="s">
        <v>29</v>
      </c>
      <c r="B37" s="30" t="s">
        <v>135</v>
      </c>
      <c r="C37" s="31" t="s">
        <v>77</v>
      </c>
      <c r="D37" s="30" t="s">
        <v>136</v>
      </c>
      <c r="E37" s="31" t="s">
        <v>79</v>
      </c>
      <c r="F37" s="32">
        <f t="shared" si="1"/>
        <v>144</v>
      </c>
      <c r="G37" s="32">
        <v>13</v>
      </c>
      <c r="H37" s="32">
        <f t="shared" si="0"/>
        <v>156</v>
      </c>
    </row>
    <row r="38" spans="1:256" ht="22.5" x14ac:dyDescent="0.2">
      <c r="A38" s="33" t="s">
        <v>30</v>
      </c>
      <c r="B38" s="30" t="s">
        <v>137</v>
      </c>
      <c r="C38" s="31" t="s">
        <v>95</v>
      </c>
      <c r="D38" s="34" t="s">
        <v>138</v>
      </c>
      <c r="E38" s="31" t="s">
        <v>79</v>
      </c>
      <c r="F38" s="32">
        <f t="shared" si="1"/>
        <v>157</v>
      </c>
      <c r="G38" s="32">
        <v>3</v>
      </c>
      <c r="H38" s="32">
        <f t="shared" si="0"/>
        <v>159</v>
      </c>
    </row>
    <row r="39" spans="1:256" ht="56.25" x14ac:dyDescent="0.2">
      <c r="A39" s="33" t="s">
        <v>31</v>
      </c>
      <c r="B39" s="30" t="s">
        <v>139</v>
      </c>
      <c r="C39" s="31" t="s">
        <v>77</v>
      </c>
      <c r="D39" s="30" t="s">
        <v>140</v>
      </c>
      <c r="E39" s="31" t="s">
        <v>79</v>
      </c>
      <c r="F39" s="32">
        <f t="shared" si="1"/>
        <v>160</v>
      </c>
      <c r="G39" s="32">
        <v>13</v>
      </c>
      <c r="H39" s="32">
        <f t="shared" si="0"/>
        <v>172</v>
      </c>
    </row>
    <row r="40" spans="1:256" x14ac:dyDescent="0.2">
      <c r="A40" s="33" t="s">
        <v>32</v>
      </c>
      <c r="B40" s="30" t="s">
        <v>141</v>
      </c>
      <c r="C40" s="31" t="s">
        <v>95</v>
      </c>
      <c r="D40" s="30" t="s">
        <v>142</v>
      </c>
      <c r="E40" s="31" t="s">
        <v>79</v>
      </c>
      <c r="F40" s="32">
        <f t="shared" si="1"/>
        <v>173</v>
      </c>
      <c r="G40" s="32">
        <v>3</v>
      </c>
      <c r="H40" s="32">
        <f t="shared" si="0"/>
        <v>175</v>
      </c>
    </row>
    <row r="41" spans="1:256" ht="22.5" x14ac:dyDescent="0.2">
      <c r="A41" s="29" t="s">
        <v>33</v>
      </c>
      <c r="B41" s="30" t="s">
        <v>143</v>
      </c>
      <c r="C41" s="31" t="s">
        <v>77</v>
      </c>
      <c r="D41" s="30" t="s">
        <v>144</v>
      </c>
      <c r="E41" s="31" t="s">
        <v>79</v>
      </c>
      <c r="F41" s="32">
        <f t="shared" si="1"/>
        <v>176</v>
      </c>
      <c r="G41" s="32">
        <v>1</v>
      </c>
      <c r="H41" s="32">
        <f t="shared" si="0"/>
        <v>176</v>
      </c>
    </row>
    <row r="42" spans="1:256" x14ac:dyDescent="0.2">
      <c r="A42" s="35" t="s">
        <v>34</v>
      </c>
      <c r="B42" s="30" t="s">
        <v>145</v>
      </c>
      <c r="C42" s="31" t="s">
        <v>95</v>
      </c>
      <c r="D42" s="30" t="s">
        <v>146</v>
      </c>
      <c r="E42" s="31" t="s">
        <v>79</v>
      </c>
      <c r="F42" s="32">
        <f t="shared" si="1"/>
        <v>177</v>
      </c>
      <c r="G42" s="32">
        <v>2000</v>
      </c>
      <c r="H42" s="32">
        <f t="shared" si="0"/>
        <v>2176</v>
      </c>
    </row>
    <row r="43" spans="1:256" x14ac:dyDescent="0.2">
      <c r="A43" s="33" t="s">
        <v>35</v>
      </c>
      <c r="B43" s="30" t="s">
        <v>147</v>
      </c>
      <c r="C43" s="31" t="s">
        <v>95</v>
      </c>
      <c r="D43" s="30" t="s">
        <v>148</v>
      </c>
      <c r="E43" s="31" t="s">
        <v>119</v>
      </c>
      <c r="F43" s="32">
        <f t="shared" si="1"/>
        <v>2177</v>
      </c>
      <c r="G43" s="32">
        <v>15</v>
      </c>
      <c r="H43" s="32">
        <f t="shared" si="0"/>
        <v>2191</v>
      </c>
      <c r="I43" s="64"/>
      <c r="J43" s="30"/>
      <c r="K43" s="31"/>
      <c r="L43" s="30"/>
      <c r="M43" s="31"/>
      <c r="N43" s="32"/>
      <c r="O43" s="32"/>
      <c r="P43" s="32"/>
      <c r="Q43" s="33"/>
      <c r="R43" s="30"/>
      <c r="S43" s="31"/>
      <c r="T43" s="30"/>
      <c r="U43" s="31"/>
      <c r="V43" s="32"/>
      <c r="W43" s="32"/>
      <c r="X43" s="32"/>
      <c r="Y43" s="33"/>
      <c r="Z43" s="30"/>
      <c r="AA43" s="31"/>
      <c r="AB43" s="30"/>
      <c r="AC43" s="31"/>
      <c r="AD43" s="32"/>
      <c r="AE43" s="32"/>
      <c r="AF43" s="32"/>
      <c r="AG43" s="33"/>
      <c r="AH43" s="30"/>
      <c r="AI43" s="31"/>
      <c r="AJ43" s="30"/>
      <c r="AK43" s="31"/>
      <c r="AL43" s="32"/>
      <c r="AM43" s="32"/>
      <c r="AN43" s="32"/>
      <c r="AO43" s="33"/>
      <c r="AP43" s="30"/>
      <c r="AQ43" s="31"/>
      <c r="AR43" s="30"/>
      <c r="AS43" s="31"/>
      <c r="AT43" s="32"/>
      <c r="AU43" s="32"/>
      <c r="AV43" s="32"/>
      <c r="AW43" s="33"/>
      <c r="AX43" s="30"/>
      <c r="AY43" s="31"/>
      <c r="AZ43" s="30"/>
      <c r="BA43" s="31"/>
      <c r="BB43" s="32"/>
      <c r="BC43" s="32"/>
      <c r="BD43" s="32"/>
      <c r="BE43" s="33"/>
      <c r="BF43" s="30"/>
      <c r="BG43" s="31"/>
      <c r="BH43" s="30"/>
      <c r="BI43" s="31"/>
      <c r="BJ43" s="32"/>
      <c r="BK43" s="32"/>
      <c r="BL43" s="32"/>
      <c r="BM43" s="33"/>
      <c r="BN43" s="30"/>
      <c r="BO43" s="31"/>
      <c r="BP43" s="30"/>
      <c r="BQ43" s="31"/>
      <c r="BR43" s="32"/>
      <c r="BS43" s="32"/>
      <c r="BT43" s="32"/>
      <c r="BU43" s="33"/>
      <c r="BV43" s="30"/>
      <c r="BW43" s="31"/>
      <c r="BX43" s="30"/>
      <c r="BY43" s="31"/>
      <c r="BZ43" s="32"/>
      <c r="CA43" s="32"/>
      <c r="CB43" s="32"/>
      <c r="CC43" s="33"/>
      <c r="CD43" s="30"/>
      <c r="CE43" s="31"/>
      <c r="CF43" s="30"/>
      <c r="CG43" s="31"/>
      <c r="CH43" s="32"/>
      <c r="CI43" s="32"/>
      <c r="CJ43" s="32"/>
      <c r="CK43" s="33"/>
      <c r="CL43" s="30"/>
      <c r="CM43" s="31"/>
      <c r="CN43" s="30"/>
      <c r="CO43" s="31"/>
      <c r="CP43" s="32"/>
      <c r="CQ43" s="32"/>
      <c r="CR43" s="32"/>
      <c r="CS43" s="33"/>
      <c r="CT43" s="30"/>
      <c r="CU43" s="31"/>
      <c r="CV43" s="30"/>
      <c r="CW43" s="31"/>
      <c r="CX43" s="32"/>
      <c r="CY43" s="32"/>
      <c r="CZ43" s="32"/>
      <c r="DA43" s="33"/>
      <c r="DB43" s="30"/>
      <c r="DC43" s="31"/>
      <c r="DD43" s="30"/>
      <c r="DE43" s="31"/>
      <c r="DF43" s="32"/>
      <c r="DG43" s="32"/>
      <c r="DH43" s="32"/>
      <c r="DI43" s="33"/>
      <c r="DJ43" s="30"/>
      <c r="DK43" s="31"/>
      <c r="DL43" s="30"/>
      <c r="DM43" s="31"/>
      <c r="DN43" s="32"/>
      <c r="DO43" s="32"/>
      <c r="DP43" s="32"/>
      <c r="DQ43" s="33"/>
      <c r="DR43" s="30"/>
      <c r="DS43" s="31"/>
      <c r="DT43" s="30"/>
      <c r="DU43" s="31"/>
      <c r="DV43" s="32"/>
      <c r="DW43" s="32"/>
      <c r="DX43" s="32"/>
      <c r="DY43" s="33"/>
      <c r="DZ43" s="30"/>
      <c r="EA43" s="31"/>
      <c r="EB43" s="30"/>
      <c r="EC43" s="31"/>
      <c r="ED43" s="32"/>
      <c r="EE43" s="32"/>
      <c r="EF43" s="32"/>
      <c r="EG43" s="33"/>
      <c r="EH43" s="30"/>
      <c r="EI43" s="31"/>
      <c r="EJ43" s="30"/>
      <c r="EK43" s="31"/>
      <c r="EL43" s="32"/>
      <c r="EM43" s="32"/>
      <c r="EN43" s="32"/>
      <c r="EO43" s="33"/>
      <c r="EP43" s="30"/>
      <c r="EQ43" s="31"/>
      <c r="ER43" s="30"/>
      <c r="ES43" s="31"/>
      <c r="ET43" s="32"/>
      <c r="EU43" s="32"/>
      <c r="EV43" s="32"/>
      <c r="EW43" s="33"/>
      <c r="EX43" s="30"/>
      <c r="EY43" s="31"/>
      <c r="EZ43" s="30"/>
      <c r="FA43" s="31"/>
      <c r="FB43" s="32"/>
      <c r="FC43" s="32"/>
      <c r="FD43" s="32"/>
      <c r="FE43" s="33"/>
      <c r="FF43" s="30"/>
      <c r="FG43" s="31"/>
      <c r="FH43" s="30"/>
      <c r="FI43" s="31"/>
      <c r="FJ43" s="32"/>
      <c r="FK43" s="32"/>
      <c r="FL43" s="32"/>
      <c r="FM43" s="33"/>
      <c r="FN43" s="30"/>
      <c r="FO43" s="31"/>
      <c r="FP43" s="30"/>
      <c r="FQ43" s="31"/>
      <c r="FR43" s="32"/>
      <c r="FS43" s="32"/>
      <c r="FT43" s="32"/>
      <c r="FU43" s="33"/>
      <c r="FV43" s="30"/>
      <c r="FW43" s="31"/>
      <c r="FX43" s="30"/>
      <c r="FY43" s="31"/>
      <c r="FZ43" s="32"/>
      <c r="GA43" s="32"/>
      <c r="GB43" s="32"/>
      <c r="GC43" s="33"/>
      <c r="GD43" s="30"/>
      <c r="GE43" s="31"/>
      <c r="GF43" s="30"/>
      <c r="GG43" s="31"/>
      <c r="GH43" s="32"/>
      <c r="GI43" s="32"/>
      <c r="GJ43" s="32"/>
      <c r="GK43" s="33"/>
      <c r="GL43" s="30"/>
      <c r="GM43" s="31"/>
      <c r="GN43" s="30"/>
      <c r="GO43" s="31"/>
      <c r="GP43" s="32"/>
      <c r="GQ43" s="32"/>
      <c r="GR43" s="32"/>
      <c r="GS43" s="33"/>
      <c r="GT43" s="30"/>
      <c r="GU43" s="31"/>
      <c r="GV43" s="30"/>
      <c r="GW43" s="31"/>
      <c r="GX43" s="32"/>
      <c r="GY43" s="32"/>
      <c r="GZ43" s="32"/>
      <c r="HA43" s="33"/>
      <c r="HB43" s="30"/>
      <c r="HC43" s="31"/>
      <c r="HD43" s="30"/>
      <c r="HE43" s="31"/>
      <c r="HF43" s="32"/>
      <c r="HG43" s="32"/>
      <c r="HH43" s="32"/>
      <c r="HI43" s="33"/>
      <c r="HJ43" s="30"/>
      <c r="HK43" s="31"/>
      <c r="HL43" s="30"/>
      <c r="HM43" s="31"/>
      <c r="HN43" s="32"/>
      <c r="HO43" s="32"/>
      <c r="HP43" s="32"/>
      <c r="HQ43" s="33"/>
      <c r="HR43" s="30"/>
      <c r="HS43" s="31"/>
      <c r="HT43" s="30"/>
      <c r="HU43" s="31"/>
      <c r="HV43" s="32"/>
      <c r="HW43" s="32"/>
      <c r="HX43" s="32"/>
      <c r="HY43" s="33"/>
      <c r="HZ43" s="30"/>
      <c r="IA43" s="31"/>
      <c r="IB43" s="30"/>
      <c r="IC43" s="31"/>
      <c r="ID43" s="32"/>
      <c r="IE43" s="32"/>
      <c r="IF43" s="32"/>
      <c r="IG43" s="33"/>
      <c r="IH43" s="30"/>
      <c r="II43" s="31"/>
      <c r="IJ43" s="30"/>
      <c r="IK43" s="31"/>
      <c r="IL43" s="32"/>
      <c r="IM43" s="32"/>
      <c r="IN43" s="32"/>
      <c r="IO43" s="33"/>
      <c r="IP43" s="30"/>
      <c r="IQ43" s="31"/>
      <c r="IR43" s="30"/>
      <c r="IS43" s="31"/>
      <c r="IT43" s="32"/>
      <c r="IU43" s="32"/>
      <c r="IV43" s="32"/>
    </row>
    <row r="44" spans="1:256" x14ac:dyDescent="0.2">
      <c r="A44" s="33" t="s">
        <v>36</v>
      </c>
      <c r="B44" s="30" t="s">
        <v>149</v>
      </c>
      <c r="C44" s="31" t="s">
        <v>95</v>
      </c>
      <c r="D44" s="30" t="s">
        <v>150</v>
      </c>
      <c r="E44" s="31" t="s">
        <v>79</v>
      </c>
      <c r="F44" s="32">
        <f t="shared" si="1"/>
        <v>2192</v>
      </c>
      <c r="G44" s="32">
        <v>3</v>
      </c>
      <c r="H44" s="32">
        <f t="shared" si="0"/>
        <v>2194</v>
      </c>
    </row>
    <row r="45" spans="1:256" x14ac:dyDescent="0.2">
      <c r="A45" s="33" t="s">
        <v>37</v>
      </c>
      <c r="B45" s="30" t="s">
        <v>151</v>
      </c>
      <c r="C45" s="30" t="s">
        <v>95</v>
      </c>
      <c r="D45" s="30" t="s">
        <v>152</v>
      </c>
      <c r="E45" s="31" t="s">
        <v>79</v>
      </c>
      <c r="F45" s="32">
        <f t="shared" si="1"/>
        <v>2195</v>
      </c>
      <c r="G45" s="30">
        <v>15</v>
      </c>
      <c r="H45" s="32">
        <f t="shared" si="0"/>
        <v>2209</v>
      </c>
    </row>
    <row r="46" spans="1:256" ht="22.5" x14ac:dyDescent="0.2">
      <c r="A46" s="29" t="s">
        <v>38</v>
      </c>
      <c r="B46" s="30" t="s">
        <v>153</v>
      </c>
      <c r="C46" s="31" t="s">
        <v>95</v>
      </c>
      <c r="D46" s="30" t="s">
        <v>154</v>
      </c>
      <c r="E46" s="31" t="s">
        <v>155</v>
      </c>
      <c r="F46" s="32">
        <f t="shared" si="1"/>
        <v>2210</v>
      </c>
      <c r="G46" s="30">
        <v>50</v>
      </c>
      <c r="H46" s="32">
        <f t="shared" si="0"/>
        <v>2259</v>
      </c>
    </row>
    <row r="47" spans="1:256" ht="22.5" x14ac:dyDescent="0.2">
      <c r="A47" s="29" t="s">
        <v>39</v>
      </c>
      <c r="B47" s="30" t="s">
        <v>156</v>
      </c>
      <c r="C47" s="31" t="s">
        <v>95</v>
      </c>
      <c r="D47" s="30" t="s">
        <v>157</v>
      </c>
      <c r="E47" s="31" t="s">
        <v>155</v>
      </c>
      <c r="F47" s="32">
        <f t="shared" si="1"/>
        <v>2260</v>
      </c>
      <c r="G47" s="30">
        <v>40</v>
      </c>
      <c r="H47" s="32">
        <f t="shared" si="0"/>
        <v>2299</v>
      </c>
    </row>
    <row r="48" spans="1:256" x14ac:dyDescent="0.2">
      <c r="A48" s="29" t="s">
        <v>40</v>
      </c>
      <c r="B48" s="30" t="s">
        <v>158</v>
      </c>
      <c r="C48" s="31" t="s">
        <v>95</v>
      </c>
      <c r="D48" s="30" t="s">
        <v>159</v>
      </c>
      <c r="E48" s="31" t="s">
        <v>119</v>
      </c>
      <c r="F48" s="32">
        <f t="shared" si="1"/>
        <v>2300</v>
      </c>
      <c r="G48" s="30">
        <v>40</v>
      </c>
      <c r="H48" s="32">
        <f t="shared" si="0"/>
        <v>2339</v>
      </c>
    </row>
    <row r="49" spans="1:8" x14ac:dyDescent="0.2">
      <c r="A49" s="29" t="s">
        <v>41</v>
      </c>
      <c r="B49" s="30" t="s">
        <v>160</v>
      </c>
      <c r="C49" s="31" t="s">
        <v>95</v>
      </c>
      <c r="D49" s="30" t="s">
        <v>161</v>
      </c>
      <c r="E49" s="31" t="s">
        <v>119</v>
      </c>
      <c r="F49" s="32">
        <f t="shared" si="1"/>
        <v>2340</v>
      </c>
      <c r="G49" s="30">
        <v>40</v>
      </c>
      <c r="H49" s="32">
        <f t="shared" si="0"/>
        <v>2379</v>
      </c>
    </row>
    <row r="50" spans="1:8" x14ac:dyDescent="0.2">
      <c r="A50" s="29" t="s">
        <v>42</v>
      </c>
      <c r="B50" s="30" t="s">
        <v>162</v>
      </c>
      <c r="C50" s="31" t="s">
        <v>95</v>
      </c>
      <c r="D50" s="30" t="s">
        <v>163</v>
      </c>
      <c r="E50" s="31" t="s">
        <v>119</v>
      </c>
      <c r="F50" s="32">
        <f t="shared" si="1"/>
        <v>2380</v>
      </c>
      <c r="G50" s="30">
        <v>3</v>
      </c>
      <c r="H50" s="32">
        <f t="shared" si="0"/>
        <v>2382</v>
      </c>
    </row>
    <row r="51" spans="1:8" ht="33.75" x14ac:dyDescent="0.2">
      <c r="A51" s="29" t="s">
        <v>43</v>
      </c>
      <c r="B51" s="30" t="s">
        <v>164</v>
      </c>
      <c r="C51" s="31" t="s">
        <v>95</v>
      </c>
      <c r="D51" s="30" t="s">
        <v>165</v>
      </c>
      <c r="E51" s="31" t="s">
        <v>155</v>
      </c>
      <c r="F51" s="32">
        <f t="shared" si="1"/>
        <v>2383</v>
      </c>
      <c r="G51" s="30">
        <v>2</v>
      </c>
      <c r="H51" s="32">
        <f t="shared" si="0"/>
        <v>2384</v>
      </c>
    </row>
    <row r="52" spans="1:8" ht="33.75" x14ac:dyDescent="0.2">
      <c r="A52" s="29" t="s">
        <v>44</v>
      </c>
      <c r="B52" s="30" t="s">
        <v>166</v>
      </c>
      <c r="C52" s="31" t="s">
        <v>95</v>
      </c>
      <c r="D52" s="30" t="s">
        <v>167</v>
      </c>
      <c r="E52" s="31" t="s">
        <v>155</v>
      </c>
      <c r="F52" s="32">
        <f t="shared" si="1"/>
        <v>2385</v>
      </c>
      <c r="G52" s="30">
        <v>3</v>
      </c>
      <c r="H52" s="32">
        <f t="shared" si="0"/>
        <v>2387</v>
      </c>
    </row>
    <row r="53" spans="1:8" x14ac:dyDescent="0.2">
      <c r="A53" s="29" t="s">
        <v>45</v>
      </c>
      <c r="B53" s="30" t="s">
        <v>168</v>
      </c>
      <c r="C53" s="31" t="s">
        <v>95</v>
      </c>
      <c r="D53" s="30" t="s">
        <v>169</v>
      </c>
      <c r="E53" s="31" t="s">
        <v>119</v>
      </c>
      <c r="F53" s="32">
        <f t="shared" si="1"/>
        <v>2388</v>
      </c>
      <c r="G53" s="30">
        <v>40</v>
      </c>
      <c r="H53" s="32">
        <f t="shared" si="0"/>
        <v>2427</v>
      </c>
    </row>
    <row r="54" spans="1:8" x14ac:dyDescent="0.2">
      <c r="A54" s="29" t="s">
        <v>46</v>
      </c>
      <c r="B54" s="30" t="s">
        <v>170</v>
      </c>
      <c r="C54" s="31" t="s">
        <v>95</v>
      </c>
      <c r="D54" s="30" t="s">
        <v>171</v>
      </c>
      <c r="E54" s="31" t="s">
        <v>119</v>
      </c>
      <c r="F54" s="32">
        <f t="shared" si="1"/>
        <v>2428</v>
      </c>
      <c r="G54" s="30">
        <v>20</v>
      </c>
      <c r="H54" s="32">
        <f t="shared" si="0"/>
        <v>2447</v>
      </c>
    </row>
    <row r="55" spans="1:8" x14ac:dyDescent="0.2">
      <c r="A55" s="29" t="s">
        <v>47</v>
      </c>
      <c r="B55" s="30" t="s">
        <v>172</v>
      </c>
      <c r="C55" s="31" t="s">
        <v>95</v>
      </c>
      <c r="D55" s="30" t="s">
        <v>172</v>
      </c>
      <c r="E55" s="31" t="s">
        <v>119</v>
      </c>
      <c r="F55" s="32">
        <f t="shared" si="1"/>
        <v>2448</v>
      </c>
      <c r="G55" s="30">
        <v>20</v>
      </c>
      <c r="H55" s="32">
        <f t="shared" si="0"/>
        <v>2467</v>
      </c>
    </row>
    <row r="56" spans="1:8" x14ac:dyDescent="0.2">
      <c r="A56" s="29" t="s">
        <v>48</v>
      </c>
      <c r="B56" s="30" t="s">
        <v>173</v>
      </c>
      <c r="C56" s="31" t="s">
        <v>95</v>
      </c>
      <c r="D56" s="30" t="s">
        <v>174</v>
      </c>
      <c r="E56" s="31" t="s">
        <v>119</v>
      </c>
      <c r="F56" s="32">
        <f t="shared" si="1"/>
        <v>2468</v>
      </c>
      <c r="G56" s="30">
        <v>10</v>
      </c>
      <c r="H56" s="32">
        <f t="shared" si="0"/>
        <v>2477</v>
      </c>
    </row>
    <row r="57" spans="1:8" x14ac:dyDescent="0.2">
      <c r="A57" s="29" t="s">
        <v>49</v>
      </c>
      <c r="B57" s="30" t="s">
        <v>175</v>
      </c>
      <c r="C57" s="31" t="s">
        <v>95</v>
      </c>
      <c r="D57" s="30" t="s">
        <v>176</v>
      </c>
      <c r="E57" s="31" t="s">
        <v>119</v>
      </c>
      <c r="F57" s="32">
        <f t="shared" si="1"/>
        <v>2478</v>
      </c>
      <c r="G57" s="30">
        <v>50</v>
      </c>
      <c r="H57" s="32">
        <f t="shared" si="0"/>
        <v>2527</v>
      </c>
    </row>
    <row r="58" spans="1:8" ht="67.5" x14ac:dyDescent="0.2">
      <c r="A58" s="29" t="s">
        <v>50</v>
      </c>
      <c r="B58" s="30" t="s">
        <v>177</v>
      </c>
      <c r="C58" s="31" t="s">
        <v>77</v>
      </c>
      <c r="D58" s="30" t="s">
        <v>178</v>
      </c>
      <c r="E58" s="31" t="s">
        <v>79</v>
      </c>
      <c r="F58" s="32">
        <f t="shared" si="1"/>
        <v>2528</v>
      </c>
      <c r="G58" s="30">
        <v>1</v>
      </c>
      <c r="H58" s="32">
        <f t="shared" si="0"/>
        <v>2528</v>
      </c>
    </row>
    <row r="59" spans="1:8" ht="26.25" customHeight="1" x14ac:dyDescent="0.2">
      <c r="A59" s="73" t="s">
        <v>179</v>
      </c>
      <c r="B59" s="74"/>
      <c r="C59" s="74"/>
      <c r="D59" s="74"/>
      <c r="E59" s="74"/>
      <c r="F59" s="74"/>
      <c r="G59" s="74"/>
      <c r="H59" s="74"/>
    </row>
  </sheetData>
  <mergeCells count="4">
    <mergeCell ref="A2:H2"/>
    <mergeCell ref="A4:H4"/>
    <mergeCell ref="A8:H8"/>
    <mergeCell ref="A59:H5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9"/>
  <dimension ref="A1:AI140"/>
  <sheetViews>
    <sheetView zoomScaleNormal="100" workbookViewId="0">
      <pane xSplit="1" ySplit="3" topLeftCell="R4" activePane="bottomRight" state="frozen"/>
      <selection pane="topRight" activeCell="C1" sqref="C1"/>
      <selection pane="bottomLeft" activeCell="A4" sqref="A4"/>
      <selection pane="bottomRight" activeCell="Z4" sqref="Z4:Z140"/>
    </sheetView>
  </sheetViews>
  <sheetFormatPr baseColWidth="10" defaultColWidth="11.42578125" defaultRowHeight="12.75" x14ac:dyDescent="0.2"/>
  <cols>
    <col min="6" max="7" width="11.42578125" style="2"/>
    <col min="8" max="8" width="14" bestFit="1" customWidth="1"/>
    <col min="10" max="10" width="13" customWidth="1"/>
    <col min="11" max="11" width="10.140625" customWidth="1"/>
    <col min="12" max="12" width="10.42578125" style="2" customWidth="1"/>
    <col min="13" max="13" width="17" style="43" customWidth="1"/>
    <col min="15" max="15" width="26.140625" customWidth="1"/>
    <col min="17" max="18" width="11.42578125" style="2"/>
    <col min="20" max="20" width="11.42578125" style="2"/>
    <col min="28" max="28" width="11.42578125" style="2"/>
  </cols>
  <sheetData>
    <row r="1" spans="1:35" s="19" customFormat="1" ht="39" thickBot="1" x14ac:dyDescent="0.25">
      <c r="A1" s="13" t="s">
        <v>0</v>
      </c>
      <c r="B1" s="42" t="s">
        <v>1</v>
      </c>
      <c r="C1" s="13" t="s">
        <v>2</v>
      </c>
      <c r="D1" s="13" t="s">
        <v>180</v>
      </c>
      <c r="E1" s="13" t="s">
        <v>4</v>
      </c>
      <c r="F1" s="13" t="s">
        <v>5</v>
      </c>
      <c r="G1" s="42" t="s">
        <v>181</v>
      </c>
      <c r="H1" s="13" t="s">
        <v>182</v>
      </c>
      <c r="I1" s="42" t="s">
        <v>183</v>
      </c>
      <c r="J1" s="13" t="s">
        <v>184</v>
      </c>
      <c r="K1" s="13" t="s">
        <v>185</v>
      </c>
      <c r="L1" s="42" t="s">
        <v>186</v>
      </c>
      <c r="M1" s="45" t="s">
        <v>187</v>
      </c>
      <c r="N1" s="42" t="s">
        <v>188</v>
      </c>
      <c r="O1" s="42" t="s">
        <v>189</v>
      </c>
      <c r="P1" s="42" t="s">
        <v>190</v>
      </c>
      <c r="Q1" s="13" t="s">
        <v>191</v>
      </c>
      <c r="R1" s="66" t="s">
        <v>192</v>
      </c>
      <c r="S1" s="13" t="s">
        <v>193</v>
      </c>
      <c r="T1" s="42" t="s">
        <v>194</v>
      </c>
      <c r="U1" s="13" t="s">
        <v>195</v>
      </c>
      <c r="V1" s="13" t="s">
        <v>196</v>
      </c>
      <c r="W1" s="13" t="s">
        <v>197</v>
      </c>
      <c r="X1" s="42" t="s">
        <v>198</v>
      </c>
      <c r="Y1" s="13" t="s">
        <v>199</v>
      </c>
      <c r="Z1" s="42" t="s">
        <v>200</v>
      </c>
      <c r="AA1" s="13" t="s">
        <v>201</v>
      </c>
      <c r="AB1" s="44" t="s">
        <v>202</v>
      </c>
      <c r="AC1" s="13" t="s">
        <v>203</v>
      </c>
      <c r="AD1" s="42" t="s">
        <v>204</v>
      </c>
      <c r="AE1" s="13" t="s">
        <v>205</v>
      </c>
      <c r="AF1" s="13" t="s">
        <v>206</v>
      </c>
      <c r="AG1" s="13" t="s">
        <v>207</v>
      </c>
      <c r="AH1" s="13" t="s">
        <v>208</v>
      </c>
      <c r="AI1" s="13" t="s">
        <v>209</v>
      </c>
    </row>
    <row r="2" spans="1:35" s="19" customFormat="1" ht="13.5" thickBot="1" x14ac:dyDescent="0.25">
      <c r="A2" s="13" t="s">
        <v>51</v>
      </c>
      <c r="B2" s="42" t="s">
        <v>52</v>
      </c>
      <c r="C2" s="13" t="s">
        <v>52</v>
      </c>
      <c r="D2" s="13" t="s">
        <v>52</v>
      </c>
      <c r="E2" s="13" t="s">
        <v>52</v>
      </c>
      <c r="F2" s="13" t="s">
        <v>52</v>
      </c>
      <c r="G2" s="42" t="s">
        <v>53</v>
      </c>
      <c r="H2" s="13" t="s">
        <v>53</v>
      </c>
      <c r="I2" s="42" t="s">
        <v>52</v>
      </c>
      <c r="J2" s="13" t="s">
        <v>52</v>
      </c>
      <c r="K2" s="13" t="s">
        <v>52</v>
      </c>
      <c r="L2" s="42" t="s">
        <v>53</v>
      </c>
      <c r="M2" s="45" t="s">
        <v>53</v>
      </c>
      <c r="N2" s="42" t="s">
        <v>53</v>
      </c>
      <c r="O2" s="42" t="s">
        <v>53</v>
      </c>
      <c r="P2" s="42" t="s">
        <v>53</v>
      </c>
      <c r="Q2" s="13" t="s">
        <v>52</v>
      </c>
      <c r="R2" s="66" t="s">
        <v>53</v>
      </c>
      <c r="S2" s="13" t="s">
        <v>52</v>
      </c>
      <c r="T2" s="42" t="s">
        <v>53</v>
      </c>
      <c r="U2" s="13" t="s">
        <v>53</v>
      </c>
      <c r="V2" s="13" t="s">
        <v>53</v>
      </c>
      <c r="W2" s="13" t="s">
        <v>53</v>
      </c>
      <c r="X2" s="42" t="s">
        <v>53</v>
      </c>
      <c r="Y2" s="13" t="s">
        <v>52</v>
      </c>
      <c r="Z2" s="42" t="s">
        <v>53</v>
      </c>
      <c r="AA2" s="13" t="s">
        <v>53</v>
      </c>
      <c r="AB2" s="44" t="s">
        <v>52</v>
      </c>
      <c r="AC2" s="13" t="s">
        <v>52</v>
      </c>
      <c r="AD2" s="42" t="s">
        <v>52</v>
      </c>
      <c r="AE2" s="13" t="s">
        <v>52</v>
      </c>
      <c r="AF2" s="13" t="s">
        <v>53</v>
      </c>
      <c r="AG2" s="13" t="s">
        <v>53</v>
      </c>
      <c r="AH2" s="13" t="s">
        <v>52</v>
      </c>
      <c r="AI2" s="13" t="s">
        <v>52</v>
      </c>
    </row>
    <row r="3" spans="1:35" s="19" customFormat="1" ht="13.5" thickBot="1" x14ac:dyDescent="0.25">
      <c r="A3" s="13" t="s">
        <v>54</v>
      </c>
      <c r="B3" s="42">
        <v>7</v>
      </c>
      <c r="C3" s="13">
        <v>4</v>
      </c>
      <c r="D3" s="13">
        <v>2</v>
      </c>
      <c r="E3" s="13">
        <v>2</v>
      </c>
      <c r="F3" s="13">
        <v>3</v>
      </c>
      <c r="G3" s="42">
        <v>3</v>
      </c>
      <c r="H3" s="13">
        <v>3</v>
      </c>
      <c r="I3" s="42">
        <v>8</v>
      </c>
      <c r="J3" s="13">
        <v>10</v>
      </c>
      <c r="K3" s="13">
        <v>7</v>
      </c>
      <c r="L3" s="42">
        <v>50</v>
      </c>
      <c r="M3" s="45">
        <v>20</v>
      </c>
      <c r="N3" s="42">
        <v>20</v>
      </c>
      <c r="O3" s="42">
        <v>20</v>
      </c>
      <c r="P3" s="42">
        <v>5</v>
      </c>
      <c r="Q3" s="13">
        <v>3</v>
      </c>
      <c r="R3" s="66">
        <v>2</v>
      </c>
      <c r="S3" s="13">
        <v>1</v>
      </c>
      <c r="T3" s="42">
        <v>3</v>
      </c>
      <c r="U3" s="13">
        <v>20</v>
      </c>
      <c r="V3" s="13">
        <v>15</v>
      </c>
      <c r="W3" s="13">
        <v>15</v>
      </c>
      <c r="X3" s="42">
        <v>8</v>
      </c>
      <c r="Y3" s="13">
        <v>3</v>
      </c>
      <c r="Z3" s="42">
        <v>3</v>
      </c>
      <c r="AA3" s="13">
        <v>4</v>
      </c>
      <c r="AB3" s="44">
        <v>20</v>
      </c>
      <c r="AC3" s="13">
        <v>20</v>
      </c>
      <c r="AD3" s="42">
        <v>20</v>
      </c>
      <c r="AE3" s="13">
        <v>1</v>
      </c>
      <c r="AF3" s="13">
        <v>255</v>
      </c>
      <c r="AG3" s="13">
        <v>2000</v>
      </c>
      <c r="AH3" s="13">
        <v>1</v>
      </c>
      <c r="AI3" s="13">
        <v>1</v>
      </c>
    </row>
    <row r="4" spans="1:35" ht="15" x14ac:dyDescent="0.25">
      <c r="A4" s="14">
        <v>1</v>
      </c>
      <c r="B4" s="60">
        <v>3</v>
      </c>
      <c r="C4" s="61" t="s">
        <v>210</v>
      </c>
      <c r="D4" s="62" t="s">
        <v>56</v>
      </c>
      <c r="E4" s="62" t="s">
        <v>57</v>
      </c>
      <c r="F4" s="16" t="s">
        <v>58</v>
      </c>
      <c r="G4" s="50" t="s">
        <v>58</v>
      </c>
      <c r="H4" s="18" t="s">
        <v>60</v>
      </c>
      <c r="I4" s="18">
        <v>1</v>
      </c>
      <c r="J4" s="18" t="s">
        <v>59</v>
      </c>
      <c r="L4">
        <v>8010</v>
      </c>
      <c r="N4" t="s">
        <v>318</v>
      </c>
      <c r="O4" t="s">
        <v>280</v>
      </c>
      <c r="P4" s="18" t="s">
        <v>211</v>
      </c>
      <c r="Q4" s="61" t="s">
        <v>212</v>
      </c>
      <c r="R4" s="67" t="s">
        <v>57</v>
      </c>
      <c r="S4" s="61" t="s">
        <v>63</v>
      </c>
      <c r="T4" s="18" t="s">
        <v>213</v>
      </c>
      <c r="V4" s="52" t="s">
        <v>214</v>
      </c>
      <c r="W4" s="20"/>
      <c r="X4" s="54">
        <v>20250903</v>
      </c>
      <c r="Y4" s="65" t="s">
        <v>294</v>
      </c>
      <c r="Z4" s="58">
        <v>999</v>
      </c>
      <c r="AA4" s="55" t="s">
        <v>215</v>
      </c>
      <c r="AB4">
        <v>8</v>
      </c>
      <c r="AF4" t="s">
        <v>308</v>
      </c>
      <c r="AH4" s="2" t="s">
        <v>216</v>
      </c>
      <c r="AI4" s="18" t="s">
        <v>64</v>
      </c>
    </row>
    <row r="5" spans="1:35" ht="15" x14ac:dyDescent="0.25">
      <c r="A5" s="14">
        <v>2</v>
      </c>
      <c r="B5" s="60">
        <v>4</v>
      </c>
      <c r="C5" s="61" t="s">
        <v>210</v>
      </c>
      <c r="D5" s="62" t="s">
        <v>56</v>
      </c>
      <c r="E5" s="62" t="s">
        <v>57</v>
      </c>
      <c r="F5" s="16" t="s">
        <v>58</v>
      </c>
      <c r="G5" s="50" t="s">
        <v>58</v>
      </c>
      <c r="H5" s="18" t="s">
        <v>60</v>
      </c>
      <c r="I5" s="18">
        <v>1</v>
      </c>
      <c r="J5" s="18" t="s">
        <v>64</v>
      </c>
      <c r="L5">
        <v>8010</v>
      </c>
      <c r="N5" t="s">
        <v>318</v>
      </c>
      <c r="O5" t="s">
        <v>313</v>
      </c>
      <c r="P5" s="18" t="s">
        <v>211</v>
      </c>
      <c r="Q5" s="61" t="s">
        <v>212</v>
      </c>
      <c r="R5" s="67" t="s">
        <v>57</v>
      </c>
      <c r="S5" s="61" t="s">
        <v>63</v>
      </c>
      <c r="T5" s="18" t="s">
        <v>213</v>
      </c>
      <c r="U5" s="2"/>
      <c r="V5" s="52" t="s">
        <v>214</v>
      </c>
      <c r="W5" s="20"/>
      <c r="X5" s="54">
        <v>20250903</v>
      </c>
      <c r="Y5" s="65" t="s">
        <v>294</v>
      </c>
      <c r="Z5" s="58">
        <v>999</v>
      </c>
      <c r="AA5" s="55" t="s">
        <v>215</v>
      </c>
      <c r="AB5">
        <v>4</v>
      </c>
      <c r="AF5" t="s">
        <v>308</v>
      </c>
      <c r="AH5" s="2" t="s">
        <v>216</v>
      </c>
      <c r="AI5" s="18" t="s">
        <v>64</v>
      </c>
    </row>
    <row r="6" spans="1:35" ht="15" x14ac:dyDescent="0.25">
      <c r="A6" s="14">
        <v>3</v>
      </c>
      <c r="B6" s="60">
        <v>5</v>
      </c>
      <c r="C6" s="61" t="s">
        <v>210</v>
      </c>
      <c r="D6" s="62" t="s">
        <v>56</v>
      </c>
      <c r="E6" s="62" t="s">
        <v>57</v>
      </c>
      <c r="F6" s="16" t="s">
        <v>58</v>
      </c>
      <c r="G6" s="50" t="s">
        <v>58</v>
      </c>
      <c r="H6" s="18" t="s">
        <v>60</v>
      </c>
      <c r="I6" s="18">
        <v>1</v>
      </c>
      <c r="J6" s="18" t="s">
        <v>217</v>
      </c>
      <c r="L6">
        <v>8010</v>
      </c>
      <c r="N6" t="s">
        <v>318</v>
      </c>
      <c r="O6" t="s">
        <v>311</v>
      </c>
      <c r="P6" s="18" t="s">
        <v>211</v>
      </c>
      <c r="Q6" s="61" t="s">
        <v>212</v>
      </c>
      <c r="R6" s="67" t="s">
        <v>57</v>
      </c>
      <c r="S6" s="61" t="s">
        <v>63</v>
      </c>
      <c r="T6" s="18" t="s">
        <v>213</v>
      </c>
      <c r="U6" s="2"/>
      <c r="V6" s="52" t="s">
        <v>214</v>
      </c>
      <c r="W6" s="20"/>
      <c r="X6" s="54">
        <v>20250903</v>
      </c>
      <c r="Y6" s="65" t="s">
        <v>294</v>
      </c>
      <c r="Z6" s="58">
        <v>999</v>
      </c>
      <c r="AA6" s="55" t="s">
        <v>215</v>
      </c>
      <c r="AB6">
        <v>4</v>
      </c>
      <c r="AF6" t="s">
        <v>308</v>
      </c>
      <c r="AH6" s="2" t="s">
        <v>216</v>
      </c>
      <c r="AI6" s="18" t="s">
        <v>64</v>
      </c>
    </row>
    <row r="7" spans="1:35" ht="15" x14ac:dyDescent="0.25">
      <c r="A7" s="14">
        <v>4</v>
      </c>
      <c r="B7" s="60">
        <v>6</v>
      </c>
      <c r="C7" s="61" t="s">
        <v>210</v>
      </c>
      <c r="D7" s="62" t="s">
        <v>56</v>
      </c>
      <c r="E7" s="62" t="s">
        <v>57</v>
      </c>
      <c r="F7" s="16" t="s">
        <v>58</v>
      </c>
      <c r="G7" s="50" t="s">
        <v>58</v>
      </c>
      <c r="H7" s="18" t="s">
        <v>60</v>
      </c>
      <c r="I7" s="18">
        <v>1</v>
      </c>
      <c r="J7" s="18" t="s">
        <v>294</v>
      </c>
      <c r="L7">
        <v>8010</v>
      </c>
      <c r="N7" t="s">
        <v>318</v>
      </c>
      <c r="O7" t="s">
        <v>282</v>
      </c>
      <c r="P7" s="18" t="s">
        <v>211</v>
      </c>
      <c r="Q7" s="61" t="s">
        <v>212</v>
      </c>
      <c r="R7" s="67" t="s">
        <v>57</v>
      </c>
      <c r="S7" s="61" t="s">
        <v>63</v>
      </c>
      <c r="T7" s="18" t="s">
        <v>213</v>
      </c>
      <c r="V7" s="52" t="s">
        <v>214</v>
      </c>
      <c r="W7" s="20"/>
      <c r="X7" s="54">
        <v>20250903</v>
      </c>
      <c r="Y7" s="65" t="s">
        <v>294</v>
      </c>
      <c r="Z7" s="58">
        <v>999</v>
      </c>
      <c r="AA7" s="55" t="s">
        <v>215</v>
      </c>
      <c r="AB7">
        <v>8</v>
      </c>
      <c r="AF7" t="s">
        <v>308</v>
      </c>
      <c r="AH7" s="2" t="s">
        <v>216</v>
      </c>
      <c r="AI7" s="18" t="s">
        <v>64</v>
      </c>
    </row>
    <row r="8" spans="1:35" ht="15" x14ac:dyDescent="0.25">
      <c r="A8" s="14">
        <v>5</v>
      </c>
      <c r="B8" s="60">
        <v>7</v>
      </c>
      <c r="C8" s="61" t="s">
        <v>210</v>
      </c>
      <c r="D8" s="62" t="s">
        <v>56</v>
      </c>
      <c r="E8" s="62" t="s">
        <v>57</v>
      </c>
      <c r="F8" s="16" t="s">
        <v>58</v>
      </c>
      <c r="G8" s="50" t="s">
        <v>58</v>
      </c>
      <c r="H8" s="18" t="s">
        <v>60</v>
      </c>
      <c r="I8" s="18">
        <v>1</v>
      </c>
      <c r="J8" s="18" t="s">
        <v>216</v>
      </c>
      <c r="L8">
        <v>8010</v>
      </c>
      <c r="N8" t="s">
        <v>318</v>
      </c>
      <c r="O8" t="s">
        <v>314</v>
      </c>
      <c r="P8" s="18" t="s">
        <v>211</v>
      </c>
      <c r="Q8" s="61" t="s">
        <v>212</v>
      </c>
      <c r="R8" s="67" t="s">
        <v>57</v>
      </c>
      <c r="S8" s="61" t="s">
        <v>63</v>
      </c>
      <c r="T8" s="18" t="s">
        <v>213</v>
      </c>
      <c r="U8" s="2"/>
      <c r="V8" s="52" t="s">
        <v>214</v>
      </c>
      <c r="W8" s="20"/>
      <c r="X8" s="54">
        <v>20250903</v>
      </c>
      <c r="Y8" s="65" t="s">
        <v>294</v>
      </c>
      <c r="Z8" s="58">
        <v>999</v>
      </c>
      <c r="AA8" s="55" t="s">
        <v>215</v>
      </c>
      <c r="AB8">
        <v>4</v>
      </c>
      <c r="AF8" t="s">
        <v>308</v>
      </c>
      <c r="AH8" s="2" t="s">
        <v>216</v>
      </c>
      <c r="AI8" s="18" t="s">
        <v>64</v>
      </c>
    </row>
    <row r="9" spans="1:35" ht="15" x14ac:dyDescent="0.25">
      <c r="A9" s="14">
        <v>6</v>
      </c>
      <c r="B9" s="60">
        <v>8</v>
      </c>
      <c r="C9" s="61" t="s">
        <v>210</v>
      </c>
      <c r="D9" s="62" t="s">
        <v>56</v>
      </c>
      <c r="E9" s="62" t="s">
        <v>57</v>
      </c>
      <c r="F9" s="16" t="s">
        <v>58</v>
      </c>
      <c r="G9" s="50" t="s">
        <v>58</v>
      </c>
      <c r="H9" s="18" t="s">
        <v>60</v>
      </c>
      <c r="I9" s="18">
        <v>1</v>
      </c>
      <c r="J9" s="18" t="s">
        <v>295</v>
      </c>
      <c r="L9">
        <v>8010</v>
      </c>
      <c r="N9" t="s">
        <v>318</v>
      </c>
      <c r="O9" t="s">
        <v>283</v>
      </c>
      <c r="P9" s="18" t="s">
        <v>211</v>
      </c>
      <c r="Q9" s="61" t="s">
        <v>212</v>
      </c>
      <c r="R9" s="67" t="s">
        <v>57</v>
      </c>
      <c r="S9" s="61" t="s">
        <v>63</v>
      </c>
      <c r="T9" s="18" t="s">
        <v>213</v>
      </c>
      <c r="U9" s="2"/>
      <c r="V9" s="52" t="s">
        <v>214</v>
      </c>
      <c r="W9" s="20"/>
      <c r="X9" s="54">
        <v>20250903</v>
      </c>
      <c r="Y9" s="65" t="s">
        <v>294</v>
      </c>
      <c r="Z9" s="58">
        <v>999</v>
      </c>
      <c r="AA9" s="55" t="s">
        <v>215</v>
      </c>
      <c r="AB9">
        <v>8</v>
      </c>
      <c r="AF9" t="s">
        <v>308</v>
      </c>
      <c r="AH9" s="2" t="s">
        <v>216</v>
      </c>
      <c r="AI9" s="18" t="s">
        <v>64</v>
      </c>
    </row>
    <row r="10" spans="1:35" ht="15" x14ac:dyDescent="0.25">
      <c r="A10" s="14">
        <v>7</v>
      </c>
      <c r="B10" s="60">
        <v>9</v>
      </c>
      <c r="C10" s="61" t="s">
        <v>210</v>
      </c>
      <c r="D10" s="62" t="s">
        <v>56</v>
      </c>
      <c r="E10" s="62" t="s">
        <v>57</v>
      </c>
      <c r="F10" s="16" t="s">
        <v>58</v>
      </c>
      <c r="G10" s="50" t="s">
        <v>58</v>
      </c>
      <c r="H10" s="18" t="s">
        <v>60</v>
      </c>
      <c r="I10" s="18">
        <v>1</v>
      </c>
      <c r="J10" s="18" t="s">
        <v>296</v>
      </c>
      <c r="L10">
        <v>8010</v>
      </c>
      <c r="N10" t="s">
        <v>318</v>
      </c>
      <c r="O10" t="s">
        <v>285</v>
      </c>
      <c r="P10" s="18" t="s">
        <v>211</v>
      </c>
      <c r="Q10" s="61" t="s">
        <v>212</v>
      </c>
      <c r="R10" s="67" t="s">
        <v>57</v>
      </c>
      <c r="S10" s="61" t="s">
        <v>63</v>
      </c>
      <c r="T10" s="18" t="s">
        <v>213</v>
      </c>
      <c r="V10" s="52" t="s">
        <v>214</v>
      </c>
      <c r="W10" s="20"/>
      <c r="X10" s="54">
        <v>20250903</v>
      </c>
      <c r="Y10" s="65" t="s">
        <v>294</v>
      </c>
      <c r="Z10" s="58">
        <v>999</v>
      </c>
      <c r="AA10" s="55" t="s">
        <v>215</v>
      </c>
      <c r="AB10">
        <v>4</v>
      </c>
      <c r="AF10" t="s">
        <v>308</v>
      </c>
      <c r="AH10" s="2" t="s">
        <v>216</v>
      </c>
      <c r="AI10" s="18" t="s">
        <v>64</v>
      </c>
    </row>
    <row r="11" spans="1:35" ht="15" x14ac:dyDescent="0.25">
      <c r="A11" s="14">
        <v>8</v>
      </c>
      <c r="B11" s="60">
        <v>10</v>
      </c>
      <c r="C11" s="61" t="s">
        <v>210</v>
      </c>
      <c r="D11" s="62" t="s">
        <v>56</v>
      </c>
      <c r="E11" s="62" t="s">
        <v>57</v>
      </c>
      <c r="F11" s="16" t="s">
        <v>58</v>
      </c>
      <c r="G11" s="50" t="s">
        <v>58</v>
      </c>
      <c r="H11" s="18" t="s">
        <v>60</v>
      </c>
      <c r="I11" s="18">
        <v>1</v>
      </c>
      <c r="J11" s="18" t="s">
        <v>297</v>
      </c>
      <c r="L11">
        <v>8010</v>
      </c>
      <c r="N11" t="s">
        <v>318</v>
      </c>
      <c r="O11" t="s">
        <v>315</v>
      </c>
      <c r="P11" s="18" t="s">
        <v>211</v>
      </c>
      <c r="Q11" s="61" t="s">
        <v>212</v>
      </c>
      <c r="R11" s="67" t="s">
        <v>57</v>
      </c>
      <c r="S11" s="61" t="s">
        <v>63</v>
      </c>
      <c r="T11" s="18" t="s">
        <v>213</v>
      </c>
      <c r="U11" s="2"/>
      <c r="V11" s="52" t="s">
        <v>214</v>
      </c>
      <c r="W11" s="20"/>
      <c r="X11" s="54">
        <v>20250903</v>
      </c>
      <c r="Y11" s="65" t="s">
        <v>294</v>
      </c>
      <c r="Z11" s="58">
        <v>999</v>
      </c>
      <c r="AA11" s="55" t="s">
        <v>215</v>
      </c>
      <c r="AB11">
        <v>4</v>
      </c>
      <c r="AF11" t="s">
        <v>308</v>
      </c>
      <c r="AH11" s="2" t="s">
        <v>216</v>
      </c>
      <c r="AI11" s="18" t="s">
        <v>64</v>
      </c>
    </row>
    <row r="12" spans="1:35" ht="15" x14ac:dyDescent="0.25">
      <c r="A12" s="14">
        <v>9</v>
      </c>
      <c r="B12" s="60">
        <v>11</v>
      </c>
      <c r="C12" s="61" t="s">
        <v>210</v>
      </c>
      <c r="D12" s="62" t="s">
        <v>56</v>
      </c>
      <c r="E12" s="62" t="s">
        <v>57</v>
      </c>
      <c r="F12" s="16" t="s">
        <v>58</v>
      </c>
      <c r="G12" s="50" t="s">
        <v>58</v>
      </c>
      <c r="H12" s="18" t="s">
        <v>60</v>
      </c>
      <c r="I12" s="18">
        <v>1</v>
      </c>
      <c r="J12" s="18" t="s">
        <v>298</v>
      </c>
      <c r="L12">
        <v>8010</v>
      </c>
      <c r="N12" t="s">
        <v>318</v>
      </c>
      <c r="O12" t="s">
        <v>312</v>
      </c>
      <c r="P12" s="18" t="s">
        <v>211</v>
      </c>
      <c r="Q12" s="61" t="s">
        <v>212</v>
      </c>
      <c r="R12" s="67" t="s">
        <v>57</v>
      </c>
      <c r="S12" s="61" t="s">
        <v>63</v>
      </c>
      <c r="T12" s="18" t="s">
        <v>213</v>
      </c>
      <c r="U12" s="2"/>
      <c r="V12" s="52" t="s">
        <v>214</v>
      </c>
      <c r="W12" s="20"/>
      <c r="X12" s="54">
        <v>20250903</v>
      </c>
      <c r="Y12" s="65" t="s">
        <v>294</v>
      </c>
      <c r="Z12" s="58">
        <v>999</v>
      </c>
      <c r="AA12" s="55" t="s">
        <v>215</v>
      </c>
      <c r="AB12">
        <v>4</v>
      </c>
      <c r="AF12" t="s">
        <v>308</v>
      </c>
      <c r="AH12" s="2" t="s">
        <v>216</v>
      </c>
      <c r="AI12" s="18" t="s">
        <v>64</v>
      </c>
    </row>
    <row r="13" spans="1:35" ht="15" x14ac:dyDescent="0.25">
      <c r="A13" s="14">
        <v>10</v>
      </c>
      <c r="B13" s="60">
        <v>12</v>
      </c>
      <c r="C13" s="61" t="s">
        <v>210</v>
      </c>
      <c r="D13" s="62" t="s">
        <v>56</v>
      </c>
      <c r="E13" s="62" t="s">
        <v>57</v>
      </c>
      <c r="F13" s="16" t="s">
        <v>58</v>
      </c>
      <c r="G13" s="50" t="s">
        <v>58</v>
      </c>
      <c r="H13" s="18" t="s">
        <v>60</v>
      </c>
      <c r="I13" s="18">
        <v>1</v>
      </c>
      <c r="J13" s="18" t="s">
        <v>299</v>
      </c>
      <c r="L13">
        <v>8011</v>
      </c>
      <c r="N13" t="s">
        <v>318</v>
      </c>
      <c r="O13" t="s">
        <v>280</v>
      </c>
      <c r="P13" s="18" t="s">
        <v>211</v>
      </c>
      <c r="Q13" s="61" t="s">
        <v>212</v>
      </c>
      <c r="R13" s="67" t="s">
        <v>57</v>
      </c>
      <c r="S13" s="61" t="s">
        <v>63</v>
      </c>
      <c r="T13" s="18" t="s">
        <v>213</v>
      </c>
      <c r="V13" s="52" t="s">
        <v>214</v>
      </c>
      <c r="W13" s="20"/>
      <c r="X13" s="54">
        <v>20250903</v>
      </c>
      <c r="Y13" s="65" t="s">
        <v>294</v>
      </c>
      <c r="Z13" s="58">
        <v>999</v>
      </c>
      <c r="AA13" s="55" t="s">
        <v>215</v>
      </c>
      <c r="AB13">
        <v>8</v>
      </c>
      <c r="AF13" t="s">
        <v>308</v>
      </c>
      <c r="AH13" s="2" t="s">
        <v>216</v>
      </c>
      <c r="AI13" s="18" t="s">
        <v>64</v>
      </c>
    </row>
    <row r="14" spans="1:35" ht="15" x14ac:dyDescent="0.25">
      <c r="A14" s="14">
        <v>11</v>
      </c>
      <c r="B14" s="60">
        <v>13</v>
      </c>
      <c r="C14" s="61" t="s">
        <v>210</v>
      </c>
      <c r="D14" s="62" t="s">
        <v>56</v>
      </c>
      <c r="E14" s="62" t="s">
        <v>57</v>
      </c>
      <c r="F14" s="16" t="s">
        <v>58</v>
      </c>
      <c r="G14" s="50" t="s">
        <v>58</v>
      </c>
      <c r="H14" s="18" t="s">
        <v>60</v>
      </c>
      <c r="I14" s="18">
        <v>1</v>
      </c>
      <c r="J14" s="18" t="s">
        <v>300</v>
      </c>
      <c r="L14">
        <v>8011</v>
      </c>
      <c r="N14" t="s">
        <v>318</v>
      </c>
      <c r="O14" t="s">
        <v>313</v>
      </c>
      <c r="P14" s="18" t="s">
        <v>211</v>
      </c>
      <c r="Q14" s="61" t="s">
        <v>212</v>
      </c>
      <c r="R14" s="67" t="s">
        <v>57</v>
      </c>
      <c r="S14" s="61" t="s">
        <v>63</v>
      </c>
      <c r="T14" s="18" t="s">
        <v>213</v>
      </c>
      <c r="U14" s="2"/>
      <c r="V14" s="52" t="s">
        <v>214</v>
      </c>
      <c r="W14" s="20"/>
      <c r="X14" s="54">
        <v>20250903</v>
      </c>
      <c r="Y14" s="65" t="s">
        <v>294</v>
      </c>
      <c r="Z14" s="58">
        <v>999</v>
      </c>
      <c r="AA14" s="55" t="s">
        <v>215</v>
      </c>
      <c r="AB14">
        <v>4</v>
      </c>
      <c r="AF14" t="s">
        <v>308</v>
      </c>
      <c r="AH14" s="2" t="s">
        <v>216</v>
      </c>
      <c r="AI14" s="18" t="s">
        <v>64</v>
      </c>
    </row>
    <row r="15" spans="1:35" ht="15" x14ac:dyDescent="0.25">
      <c r="A15" s="14">
        <v>12</v>
      </c>
      <c r="B15" s="60">
        <v>14</v>
      </c>
      <c r="C15" s="61" t="s">
        <v>210</v>
      </c>
      <c r="D15" s="62" t="s">
        <v>56</v>
      </c>
      <c r="E15" s="62" t="s">
        <v>57</v>
      </c>
      <c r="F15" s="16" t="s">
        <v>58</v>
      </c>
      <c r="G15" s="50" t="s">
        <v>58</v>
      </c>
      <c r="H15" s="18" t="s">
        <v>60</v>
      </c>
      <c r="I15" s="18">
        <v>1</v>
      </c>
      <c r="J15" s="18" t="s">
        <v>301</v>
      </c>
      <c r="L15">
        <v>8011</v>
      </c>
      <c r="N15" t="s">
        <v>318</v>
      </c>
      <c r="O15" t="s">
        <v>311</v>
      </c>
      <c r="P15" s="18" t="s">
        <v>211</v>
      </c>
      <c r="Q15" s="61" t="s">
        <v>212</v>
      </c>
      <c r="R15" s="67" t="s">
        <v>57</v>
      </c>
      <c r="S15" s="61" t="s">
        <v>63</v>
      </c>
      <c r="T15" s="18" t="s">
        <v>213</v>
      </c>
      <c r="U15" s="2"/>
      <c r="V15" s="52" t="s">
        <v>214</v>
      </c>
      <c r="W15" s="20"/>
      <c r="X15" s="54">
        <v>20250903</v>
      </c>
      <c r="Y15" s="65" t="s">
        <v>294</v>
      </c>
      <c r="Z15" s="58">
        <v>999</v>
      </c>
      <c r="AA15" s="55" t="s">
        <v>215</v>
      </c>
      <c r="AB15">
        <v>4</v>
      </c>
      <c r="AF15" t="s">
        <v>308</v>
      </c>
      <c r="AH15" s="2" t="s">
        <v>216</v>
      </c>
      <c r="AI15" s="18" t="s">
        <v>64</v>
      </c>
    </row>
    <row r="16" spans="1:35" ht="15" x14ac:dyDescent="0.25">
      <c r="A16" s="14">
        <v>13</v>
      </c>
      <c r="B16" s="60">
        <v>15</v>
      </c>
      <c r="C16" s="61" t="s">
        <v>210</v>
      </c>
      <c r="D16" s="62" t="s">
        <v>56</v>
      </c>
      <c r="E16" s="62" t="s">
        <v>57</v>
      </c>
      <c r="F16" s="16" t="s">
        <v>58</v>
      </c>
      <c r="G16" s="50" t="s">
        <v>58</v>
      </c>
      <c r="H16" s="18" t="s">
        <v>60</v>
      </c>
      <c r="I16" s="18">
        <v>1</v>
      </c>
      <c r="J16" s="18" t="s">
        <v>302</v>
      </c>
      <c r="L16">
        <v>8011</v>
      </c>
      <c r="N16" t="s">
        <v>318</v>
      </c>
      <c r="O16" t="s">
        <v>282</v>
      </c>
      <c r="P16" s="18" t="s">
        <v>211</v>
      </c>
      <c r="Q16" s="61" t="s">
        <v>212</v>
      </c>
      <c r="R16" s="67" t="s">
        <v>57</v>
      </c>
      <c r="S16" s="61" t="s">
        <v>63</v>
      </c>
      <c r="T16" s="18" t="s">
        <v>213</v>
      </c>
      <c r="V16" s="52" t="s">
        <v>214</v>
      </c>
      <c r="W16" s="20"/>
      <c r="X16" s="54">
        <v>20250903</v>
      </c>
      <c r="Y16" s="65" t="s">
        <v>294</v>
      </c>
      <c r="Z16" s="58">
        <v>999</v>
      </c>
      <c r="AA16" s="55" t="s">
        <v>215</v>
      </c>
      <c r="AB16">
        <v>8</v>
      </c>
      <c r="AF16" t="s">
        <v>308</v>
      </c>
      <c r="AH16" s="2" t="s">
        <v>216</v>
      </c>
      <c r="AI16" s="18" t="s">
        <v>64</v>
      </c>
    </row>
    <row r="17" spans="1:35" ht="15" x14ac:dyDescent="0.25">
      <c r="A17" s="14">
        <v>14</v>
      </c>
      <c r="B17" s="60">
        <v>16</v>
      </c>
      <c r="C17" s="61" t="s">
        <v>210</v>
      </c>
      <c r="D17" s="62" t="s">
        <v>56</v>
      </c>
      <c r="E17" s="62" t="s">
        <v>57</v>
      </c>
      <c r="F17" s="16" t="s">
        <v>58</v>
      </c>
      <c r="G17" s="50" t="s">
        <v>58</v>
      </c>
      <c r="H17" s="18" t="s">
        <v>60</v>
      </c>
      <c r="I17" s="18">
        <v>1</v>
      </c>
      <c r="J17" s="18" t="s">
        <v>303</v>
      </c>
      <c r="L17">
        <v>8011</v>
      </c>
      <c r="N17" t="s">
        <v>318</v>
      </c>
      <c r="O17" t="s">
        <v>314</v>
      </c>
      <c r="P17" s="18" t="s">
        <v>211</v>
      </c>
      <c r="Q17" s="61" t="s">
        <v>212</v>
      </c>
      <c r="R17" s="67" t="s">
        <v>57</v>
      </c>
      <c r="S17" s="61" t="s">
        <v>63</v>
      </c>
      <c r="T17" s="18" t="s">
        <v>213</v>
      </c>
      <c r="U17" s="2"/>
      <c r="V17" s="52" t="s">
        <v>214</v>
      </c>
      <c r="W17" s="20"/>
      <c r="X17" s="54">
        <v>20250903</v>
      </c>
      <c r="Y17" s="65" t="s">
        <v>294</v>
      </c>
      <c r="Z17" s="58">
        <v>999</v>
      </c>
      <c r="AA17" s="55" t="s">
        <v>215</v>
      </c>
      <c r="AB17">
        <v>4</v>
      </c>
      <c r="AF17" t="s">
        <v>308</v>
      </c>
      <c r="AH17" s="2" t="s">
        <v>216</v>
      </c>
      <c r="AI17" s="18" t="s">
        <v>64</v>
      </c>
    </row>
    <row r="18" spans="1:35" ht="15" x14ac:dyDescent="0.25">
      <c r="A18" s="14">
        <v>15</v>
      </c>
      <c r="B18" s="60">
        <v>17</v>
      </c>
      <c r="C18" s="61" t="s">
        <v>210</v>
      </c>
      <c r="D18" s="62" t="s">
        <v>56</v>
      </c>
      <c r="E18" s="62" t="s">
        <v>57</v>
      </c>
      <c r="F18" s="16" t="s">
        <v>58</v>
      </c>
      <c r="G18" s="50" t="s">
        <v>58</v>
      </c>
      <c r="H18" s="18" t="s">
        <v>60</v>
      </c>
      <c r="I18" s="18">
        <v>1</v>
      </c>
      <c r="J18" s="18" t="s">
        <v>304</v>
      </c>
      <c r="L18">
        <v>8011</v>
      </c>
      <c r="N18" t="s">
        <v>318</v>
      </c>
      <c r="O18" t="s">
        <v>283</v>
      </c>
      <c r="P18" s="18" t="s">
        <v>211</v>
      </c>
      <c r="Q18" s="61" t="s">
        <v>212</v>
      </c>
      <c r="R18" s="67" t="s">
        <v>57</v>
      </c>
      <c r="S18" s="61" t="s">
        <v>63</v>
      </c>
      <c r="T18" s="18" t="s">
        <v>213</v>
      </c>
      <c r="U18" s="2"/>
      <c r="V18" s="52" t="s">
        <v>214</v>
      </c>
      <c r="W18" s="20"/>
      <c r="X18" s="54">
        <v>20250903</v>
      </c>
      <c r="Y18" s="65" t="s">
        <v>294</v>
      </c>
      <c r="Z18" s="58">
        <v>999</v>
      </c>
      <c r="AA18" s="55" t="s">
        <v>215</v>
      </c>
      <c r="AB18">
        <v>8</v>
      </c>
      <c r="AF18" t="s">
        <v>308</v>
      </c>
      <c r="AH18" s="2" t="s">
        <v>216</v>
      </c>
      <c r="AI18" s="18" t="s">
        <v>64</v>
      </c>
    </row>
    <row r="19" spans="1:35" ht="15" x14ac:dyDescent="0.25">
      <c r="A19" s="14">
        <v>16</v>
      </c>
      <c r="B19" s="60">
        <v>18</v>
      </c>
      <c r="C19" s="61" t="s">
        <v>210</v>
      </c>
      <c r="D19" s="62" t="s">
        <v>56</v>
      </c>
      <c r="E19" s="62" t="s">
        <v>57</v>
      </c>
      <c r="F19" s="16" t="s">
        <v>58</v>
      </c>
      <c r="G19" s="50" t="s">
        <v>58</v>
      </c>
      <c r="H19" s="18" t="s">
        <v>60</v>
      </c>
      <c r="I19" s="18">
        <v>1</v>
      </c>
      <c r="J19" s="18" t="s">
        <v>305</v>
      </c>
      <c r="L19">
        <v>8011</v>
      </c>
      <c r="N19" t="s">
        <v>318</v>
      </c>
      <c r="O19" t="s">
        <v>285</v>
      </c>
      <c r="P19" s="18" t="s">
        <v>211</v>
      </c>
      <c r="Q19" s="61" t="s">
        <v>212</v>
      </c>
      <c r="R19" s="67" t="s">
        <v>57</v>
      </c>
      <c r="S19" s="61" t="s">
        <v>63</v>
      </c>
      <c r="T19" s="18" t="s">
        <v>213</v>
      </c>
      <c r="V19" s="52" t="s">
        <v>214</v>
      </c>
      <c r="W19" s="20"/>
      <c r="X19" s="54">
        <v>20250903</v>
      </c>
      <c r="Y19" s="65" t="s">
        <v>294</v>
      </c>
      <c r="Z19" s="58">
        <v>999</v>
      </c>
      <c r="AA19" s="55" t="s">
        <v>215</v>
      </c>
      <c r="AB19">
        <v>4</v>
      </c>
      <c r="AF19" t="s">
        <v>308</v>
      </c>
      <c r="AH19" s="2" t="s">
        <v>216</v>
      </c>
      <c r="AI19" s="18" t="s">
        <v>64</v>
      </c>
    </row>
    <row r="20" spans="1:35" ht="15" x14ac:dyDescent="0.25">
      <c r="A20" s="14">
        <v>17</v>
      </c>
      <c r="B20" s="60">
        <v>19</v>
      </c>
      <c r="C20" s="61" t="s">
        <v>210</v>
      </c>
      <c r="D20" s="62" t="s">
        <v>56</v>
      </c>
      <c r="E20" s="62" t="s">
        <v>57</v>
      </c>
      <c r="F20" s="16" t="s">
        <v>58</v>
      </c>
      <c r="G20" s="50" t="s">
        <v>58</v>
      </c>
      <c r="H20" s="18" t="s">
        <v>60</v>
      </c>
      <c r="I20" s="18">
        <v>1</v>
      </c>
      <c r="J20" s="18" t="s">
        <v>306</v>
      </c>
      <c r="L20">
        <v>8011</v>
      </c>
      <c r="N20" t="s">
        <v>318</v>
      </c>
      <c r="O20" t="s">
        <v>315</v>
      </c>
      <c r="P20" s="18" t="s">
        <v>211</v>
      </c>
      <c r="Q20" s="61" t="s">
        <v>212</v>
      </c>
      <c r="R20" s="67" t="s">
        <v>57</v>
      </c>
      <c r="S20" s="61" t="s">
        <v>63</v>
      </c>
      <c r="T20" s="18" t="s">
        <v>213</v>
      </c>
      <c r="U20" s="2"/>
      <c r="V20" s="52" t="s">
        <v>214</v>
      </c>
      <c r="W20" s="20"/>
      <c r="X20" s="54">
        <v>20250903</v>
      </c>
      <c r="Y20" s="65" t="s">
        <v>294</v>
      </c>
      <c r="Z20" s="58">
        <v>999</v>
      </c>
      <c r="AA20" s="55" t="s">
        <v>215</v>
      </c>
      <c r="AB20">
        <v>4</v>
      </c>
      <c r="AF20" t="s">
        <v>308</v>
      </c>
      <c r="AH20" s="2" t="s">
        <v>216</v>
      </c>
      <c r="AI20" s="18" t="s">
        <v>64</v>
      </c>
    </row>
    <row r="21" spans="1:35" ht="15" x14ac:dyDescent="0.25">
      <c r="A21" s="14">
        <v>18</v>
      </c>
      <c r="B21" s="60">
        <v>20</v>
      </c>
      <c r="C21" s="61" t="s">
        <v>210</v>
      </c>
      <c r="D21" s="62" t="s">
        <v>56</v>
      </c>
      <c r="E21" s="62" t="s">
        <v>57</v>
      </c>
      <c r="F21" s="16" t="s">
        <v>58</v>
      </c>
      <c r="G21" s="50" t="s">
        <v>58</v>
      </c>
      <c r="H21" s="18" t="s">
        <v>60</v>
      </c>
      <c r="I21" s="18">
        <v>1</v>
      </c>
      <c r="J21" s="18" t="s">
        <v>307</v>
      </c>
      <c r="L21">
        <v>8011</v>
      </c>
      <c r="N21" t="s">
        <v>318</v>
      </c>
      <c r="O21" t="s">
        <v>312</v>
      </c>
      <c r="P21" s="18" t="s">
        <v>211</v>
      </c>
      <c r="Q21" s="61" t="s">
        <v>212</v>
      </c>
      <c r="R21" s="67" t="s">
        <v>57</v>
      </c>
      <c r="S21" s="61" t="s">
        <v>63</v>
      </c>
      <c r="T21" s="18" t="s">
        <v>213</v>
      </c>
      <c r="U21" s="2"/>
      <c r="V21" s="52" t="s">
        <v>214</v>
      </c>
      <c r="W21" s="20"/>
      <c r="X21" s="54">
        <v>20250903</v>
      </c>
      <c r="Y21" s="65" t="s">
        <v>294</v>
      </c>
      <c r="Z21" s="58">
        <v>999</v>
      </c>
      <c r="AA21" s="55" t="s">
        <v>215</v>
      </c>
      <c r="AB21">
        <v>4</v>
      </c>
      <c r="AF21" t="s">
        <v>308</v>
      </c>
      <c r="AH21" s="2" t="s">
        <v>216</v>
      </c>
      <c r="AI21" s="18" t="s">
        <v>64</v>
      </c>
    </row>
    <row r="22" spans="1:35" ht="15" x14ac:dyDescent="0.25">
      <c r="A22" s="14">
        <v>19</v>
      </c>
      <c r="B22" s="60">
        <v>21</v>
      </c>
      <c r="C22" s="61" t="s">
        <v>210</v>
      </c>
      <c r="D22" s="62" t="s">
        <v>56</v>
      </c>
      <c r="E22" s="62" t="s">
        <v>57</v>
      </c>
      <c r="F22" s="16" t="s">
        <v>58</v>
      </c>
      <c r="G22" s="50" t="s">
        <v>58</v>
      </c>
      <c r="H22" s="18" t="s">
        <v>60</v>
      </c>
      <c r="I22" s="18">
        <v>1</v>
      </c>
      <c r="J22" s="18" t="s">
        <v>322</v>
      </c>
      <c r="L22">
        <v>8012</v>
      </c>
      <c r="N22" t="s">
        <v>318</v>
      </c>
      <c r="O22" t="s">
        <v>280</v>
      </c>
      <c r="P22" s="18" t="s">
        <v>211</v>
      </c>
      <c r="Q22" s="61" t="s">
        <v>212</v>
      </c>
      <c r="R22" s="67" t="s">
        <v>57</v>
      </c>
      <c r="S22" s="61" t="s">
        <v>63</v>
      </c>
      <c r="T22" s="18" t="s">
        <v>213</v>
      </c>
      <c r="V22" s="52" t="s">
        <v>214</v>
      </c>
      <c r="W22" s="20"/>
      <c r="X22" s="54">
        <v>20250903</v>
      </c>
      <c r="Y22" s="65" t="s">
        <v>294</v>
      </c>
      <c r="Z22" s="58">
        <v>999</v>
      </c>
      <c r="AA22" s="55" t="s">
        <v>215</v>
      </c>
      <c r="AB22">
        <v>8</v>
      </c>
      <c r="AF22" t="s">
        <v>308</v>
      </c>
      <c r="AH22" s="2" t="s">
        <v>216</v>
      </c>
      <c r="AI22" s="18" t="s">
        <v>64</v>
      </c>
    </row>
    <row r="23" spans="1:35" ht="15" x14ac:dyDescent="0.25">
      <c r="A23" s="14">
        <v>20</v>
      </c>
      <c r="B23" s="60">
        <v>22</v>
      </c>
      <c r="C23" s="61" t="s">
        <v>210</v>
      </c>
      <c r="D23" s="62" t="s">
        <v>56</v>
      </c>
      <c r="E23" s="62" t="s">
        <v>57</v>
      </c>
      <c r="F23" s="16" t="s">
        <v>58</v>
      </c>
      <c r="G23" s="50" t="s">
        <v>58</v>
      </c>
      <c r="H23" s="18" t="s">
        <v>60</v>
      </c>
      <c r="I23" s="18">
        <v>1</v>
      </c>
      <c r="J23" s="18" t="s">
        <v>323</v>
      </c>
      <c r="L23">
        <v>8012</v>
      </c>
      <c r="N23" t="s">
        <v>318</v>
      </c>
      <c r="O23" t="s">
        <v>313</v>
      </c>
      <c r="P23" s="18" t="s">
        <v>211</v>
      </c>
      <c r="Q23" s="61" t="s">
        <v>212</v>
      </c>
      <c r="R23" s="67" t="s">
        <v>57</v>
      </c>
      <c r="S23" s="61" t="s">
        <v>63</v>
      </c>
      <c r="T23" s="18" t="s">
        <v>213</v>
      </c>
      <c r="U23" s="2"/>
      <c r="V23" s="52" t="s">
        <v>214</v>
      </c>
      <c r="W23" s="20"/>
      <c r="X23" s="54">
        <v>20250903</v>
      </c>
      <c r="Y23" s="65" t="s">
        <v>294</v>
      </c>
      <c r="Z23" s="58">
        <v>999</v>
      </c>
      <c r="AA23" s="55" t="s">
        <v>215</v>
      </c>
      <c r="AB23">
        <v>4</v>
      </c>
      <c r="AF23" t="s">
        <v>308</v>
      </c>
      <c r="AH23" s="2" t="s">
        <v>216</v>
      </c>
      <c r="AI23" s="18" t="s">
        <v>64</v>
      </c>
    </row>
    <row r="24" spans="1:35" ht="15" x14ac:dyDescent="0.25">
      <c r="A24" s="14">
        <v>21</v>
      </c>
      <c r="B24" s="60">
        <v>23</v>
      </c>
      <c r="C24" s="61" t="s">
        <v>210</v>
      </c>
      <c r="D24" s="62" t="s">
        <v>56</v>
      </c>
      <c r="E24" s="62" t="s">
        <v>57</v>
      </c>
      <c r="F24" s="16" t="s">
        <v>58</v>
      </c>
      <c r="G24" s="50" t="s">
        <v>58</v>
      </c>
      <c r="H24" s="18" t="s">
        <v>60</v>
      </c>
      <c r="I24" s="18">
        <v>1</v>
      </c>
      <c r="J24" s="18" t="s">
        <v>324</v>
      </c>
      <c r="L24">
        <v>8012</v>
      </c>
      <c r="N24" t="s">
        <v>318</v>
      </c>
      <c r="O24" t="s">
        <v>311</v>
      </c>
      <c r="P24" s="18" t="s">
        <v>211</v>
      </c>
      <c r="Q24" s="61" t="s">
        <v>212</v>
      </c>
      <c r="R24" s="67" t="s">
        <v>57</v>
      </c>
      <c r="S24" s="61" t="s">
        <v>63</v>
      </c>
      <c r="T24" s="18" t="s">
        <v>213</v>
      </c>
      <c r="U24" s="2"/>
      <c r="V24" s="52" t="s">
        <v>214</v>
      </c>
      <c r="W24" s="20"/>
      <c r="X24" s="54">
        <v>20250903</v>
      </c>
      <c r="Y24" s="65" t="s">
        <v>294</v>
      </c>
      <c r="Z24" s="58">
        <v>999</v>
      </c>
      <c r="AA24" s="55" t="s">
        <v>215</v>
      </c>
      <c r="AB24">
        <v>4</v>
      </c>
      <c r="AF24" t="s">
        <v>308</v>
      </c>
      <c r="AH24" s="2" t="s">
        <v>216</v>
      </c>
      <c r="AI24" s="18" t="s">
        <v>64</v>
      </c>
    </row>
    <row r="25" spans="1:35" ht="15" x14ac:dyDescent="0.25">
      <c r="A25" s="14">
        <v>22</v>
      </c>
      <c r="B25" s="60">
        <v>24</v>
      </c>
      <c r="C25" s="61" t="s">
        <v>210</v>
      </c>
      <c r="D25" s="62" t="s">
        <v>56</v>
      </c>
      <c r="E25" s="62" t="s">
        <v>57</v>
      </c>
      <c r="F25" s="16" t="s">
        <v>58</v>
      </c>
      <c r="G25" s="50" t="s">
        <v>58</v>
      </c>
      <c r="H25" s="18" t="s">
        <v>60</v>
      </c>
      <c r="I25" s="18">
        <v>1</v>
      </c>
      <c r="J25" s="18" t="s">
        <v>325</v>
      </c>
      <c r="L25">
        <v>8012</v>
      </c>
      <c r="N25" t="s">
        <v>318</v>
      </c>
      <c r="O25" t="s">
        <v>282</v>
      </c>
      <c r="P25" s="18" t="s">
        <v>211</v>
      </c>
      <c r="Q25" s="61" t="s">
        <v>212</v>
      </c>
      <c r="R25" s="67" t="s">
        <v>57</v>
      </c>
      <c r="S25" s="61" t="s">
        <v>63</v>
      </c>
      <c r="T25" s="18" t="s">
        <v>213</v>
      </c>
      <c r="V25" s="52" t="s">
        <v>214</v>
      </c>
      <c r="W25" s="20"/>
      <c r="X25" s="54">
        <v>20250903</v>
      </c>
      <c r="Y25" s="65" t="s">
        <v>294</v>
      </c>
      <c r="Z25" s="58">
        <v>999</v>
      </c>
      <c r="AA25" s="55" t="s">
        <v>215</v>
      </c>
      <c r="AB25">
        <v>8</v>
      </c>
      <c r="AF25" t="s">
        <v>308</v>
      </c>
      <c r="AH25" s="2" t="s">
        <v>216</v>
      </c>
      <c r="AI25" s="18" t="s">
        <v>64</v>
      </c>
    </row>
    <row r="26" spans="1:35" ht="15" x14ac:dyDescent="0.25">
      <c r="A26" s="14">
        <v>23</v>
      </c>
      <c r="B26" s="60">
        <v>25</v>
      </c>
      <c r="C26" s="61" t="s">
        <v>210</v>
      </c>
      <c r="D26" s="62" t="s">
        <v>56</v>
      </c>
      <c r="E26" s="62" t="s">
        <v>57</v>
      </c>
      <c r="F26" s="16" t="s">
        <v>58</v>
      </c>
      <c r="G26" s="50" t="s">
        <v>58</v>
      </c>
      <c r="H26" s="18" t="s">
        <v>60</v>
      </c>
      <c r="I26" s="18">
        <v>1</v>
      </c>
      <c r="J26" s="18" t="s">
        <v>326</v>
      </c>
      <c r="L26">
        <v>8012</v>
      </c>
      <c r="N26" t="s">
        <v>318</v>
      </c>
      <c r="O26" t="s">
        <v>314</v>
      </c>
      <c r="P26" s="18" t="s">
        <v>211</v>
      </c>
      <c r="Q26" s="61" t="s">
        <v>212</v>
      </c>
      <c r="R26" s="67" t="s">
        <v>57</v>
      </c>
      <c r="S26" s="61" t="s">
        <v>63</v>
      </c>
      <c r="T26" s="18" t="s">
        <v>213</v>
      </c>
      <c r="U26" s="2"/>
      <c r="V26" s="52" t="s">
        <v>214</v>
      </c>
      <c r="W26" s="20"/>
      <c r="X26" s="54">
        <v>20250903</v>
      </c>
      <c r="Y26" s="65" t="s">
        <v>294</v>
      </c>
      <c r="Z26" s="58">
        <v>999</v>
      </c>
      <c r="AA26" s="55" t="s">
        <v>215</v>
      </c>
      <c r="AB26">
        <v>4</v>
      </c>
      <c r="AF26" t="s">
        <v>308</v>
      </c>
      <c r="AH26" s="2" t="s">
        <v>216</v>
      </c>
      <c r="AI26" s="18" t="s">
        <v>64</v>
      </c>
    </row>
    <row r="27" spans="1:35" ht="15" x14ac:dyDescent="0.25">
      <c r="A27" s="14">
        <v>24</v>
      </c>
      <c r="B27" s="60">
        <v>26</v>
      </c>
      <c r="C27" s="61" t="s">
        <v>210</v>
      </c>
      <c r="D27" s="62" t="s">
        <v>56</v>
      </c>
      <c r="E27" s="62" t="s">
        <v>57</v>
      </c>
      <c r="F27" s="16" t="s">
        <v>58</v>
      </c>
      <c r="G27" s="50" t="s">
        <v>58</v>
      </c>
      <c r="H27" s="18" t="s">
        <v>60</v>
      </c>
      <c r="I27" s="18">
        <v>1</v>
      </c>
      <c r="J27" s="18" t="s">
        <v>327</v>
      </c>
      <c r="L27">
        <v>8012</v>
      </c>
      <c r="N27" t="s">
        <v>318</v>
      </c>
      <c r="O27" t="s">
        <v>283</v>
      </c>
      <c r="P27" s="18" t="s">
        <v>211</v>
      </c>
      <c r="Q27" s="61" t="s">
        <v>212</v>
      </c>
      <c r="R27" s="67" t="s">
        <v>57</v>
      </c>
      <c r="S27" s="61" t="s">
        <v>63</v>
      </c>
      <c r="T27" s="18" t="s">
        <v>213</v>
      </c>
      <c r="U27" s="2"/>
      <c r="V27" s="52" t="s">
        <v>214</v>
      </c>
      <c r="W27" s="20"/>
      <c r="X27" s="54">
        <v>20250903</v>
      </c>
      <c r="Y27" s="65" t="s">
        <v>294</v>
      </c>
      <c r="Z27" s="58">
        <v>999</v>
      </c>
      <c r="AA27" s="55" t="s">
        <v>215</v>
      </c>
      <c r="AB27">
        <v>8</v>
      </c>
      <c r="AF27" t="s">
        <v>308</v>
      </c>
      <c r="AH27" s="2" t="s">
        <v>216</v>
      </c>
      <c r="AI27" s="18" t="s">
        <v>64</v>
      </c>
    </row>
    <row r="28" spans="1:35" ht="15" x14ac:dyDescent="0.25">
      <c r="A28" s="14">
        <v>25</v>
      </c>
      <c r="B28" s="60">
        <v>27</v>
      </c>
      <c r="C28" s="61" t="s">
        <v>210</v>
      </c>
      <c r="D28" s="62" t="s">
        <v>56</v>
      </c>
      <c r="E28" s="62" t="s">
        <v>57</v>
      </c>
      <c r="F28" s="16" t="s">
        <v>58</v>
      </c>
      <c r="G28" s="50" t="s">
        <v>58</v>
      </c>
      <c r="H28" s="18" t="s">
        <v>60</v>
      </c>
      <c r="I28" s="18">
        <v>1</v>
      </c>
      <c r="J28" s="18" t="s">
        <v>328</v>
      </c>
      <c r="L28">
        <v>8012</v>
      </c>
      <c r="N28" t="s">
        <v>318</v>
      </c>
      <c r="O28" t="s">
        <v>285</v>
      </c>
      <c r="P28" s="18" t="s">
        <v>211</v>
      </c>
      <c r="Q28" s="61" t="s">
        <v>212</v>
      </c>
      <c r="R28" s="67" t="s">
        <v>57</v>
      </c>
      <c r="S28" s="61" t="s">
        <v>63</v>
      </c>
      <c r="T28" s="18" t="s">
        <v>213</v>
      </c>
      <c r="V28" s="52" t="s">
        <v>214</v>
      </c>
      <c r="W28" s="20"/>
      <c r="X28" s="54">
        <v>20250903</v>
      </c>
      <c r="Y28" s="65" t="s">
        <v>294</v>
      </c>
      <c r="Z28" s="58">
        <v>999</v>
      </c>
      <c r="AA28" s="55" t="s">
        <v>215</v>
      </c>
      <c r="AB28">
        <v>4</v>
      </c>
      <c r="AF28" t="s">
        <v>308</v>
      </c>
      <c r="AH28" s="2" t="s">
        <v>216</v>
      </c>
      <c r="AI28" s="18" t="s">
        <v>64</v>
      </c>
    </row>
    <row r="29" spans="1:35" ht="15" x14ac:dyDescent="0.25">
      <c r="A29" s="14">
        <v>26</v>
      </c>
      <c r="B29" s="60">
        <v>28</v>
      </c>
      <c r="C29" s="61" t="s">
        <v>210</v>
      </c>
      <c r="D29" s="62" t="s">
        <v>56</v>
      </c>
      <c r="E29" s="62" t="s">
        <v>57</v>
      </c>
      <c r="F29" s="16" t="s">
        <v>58</v>
      </c>
      <c r="G29" s="50" t="s">
        <v>58</v>
      </c>
      <c r="H29" s="18" t="s">
        <v>60</v>
      </c>
      <c r="I29" s="18">
        <v>1</v>
      </c>
      <c r="J29" s="18" t="s">
        <v>329</v>
      </c>
      <c r="L29">
        <v>8012</v>
      </c>
      <c r="N29" t="s">
        <v>318</v>
      </c>
      <c r="O29" t="s">
        <v>315</v>
      </c>
      <c r="P29" s="18" t="s">
        <v>211</v>
      </c>
      <c r="Q29" s="61" t="s">
        <v>212</v>
      </c>
      <c r="R29" s="67" t="s">
        <v>57</v>
      </c>
      <c r="S29" s="61" t="s">
        <v>63</v>
      </c>
      <c r="T29" s="18" t="s">
        <v>213</v>
      </c>
      <c r="U29" s="2"/>
      <c r="V29" s="52" t="s">
        <v>214</v>
      </c>
      <c r="W29" s="20"/>
      <c r="X29" s="54">
        <v>20250903</v>
      </c>
      <c r="Y29" s="65" t="s">
        <v>294</v>
      </c>
      <c r="Z29" s="58">
        <v>999</v>
      </c>
      <c r="AA29" s="55" t="s">
        <v>215</v>
      </c>
      <c r="AB29">
        <v>4</v>
      </c>
      <c r="AF29" t="s">
        <v>308</v>
      </c>
      <c r="AH29" s="2" t="s">
        <v>216</v>
      </c>
      <c r="AI29" s="18" t="s">
        <v>64</v>
      </c>
    </row>
    <row r="30" spans="1:35" ht="15" x14ac:dyDescent="0.25">
      <c r="A30" s="14">
        <v>27</v>
      </c>
      <c r="B30" s="60">
        <v>29</v>
      </c>
      <c r="C30" s="61" t="s">
        <v>210</v>
      </c>
      <c r="D30" s="62" t="s">
        <v>56</v>
      </c>
      <c r="E30" s="62" t="s">
        <v>57</v>
      </c>
      <c r="F30" s="16" t="s">
        <v>58</v>
      </c>
      <c r="G30" s="50" t="s">
        <v>58</v>
      </c>
      <c r="H30" s="18" t="s">
        <v>60</v>
      </c>
      <c r="I30" s="18">
        <v>1</v>
      </c>
      <c r="J30" s="18" t="s">
        <v>330</v>
      </c>
      <c r="L30">
        <v>8012</v>
      </c>
      <c r="N30" t="s">
        <v>318</v>
      </c>
      <c r="O30" t="s">
        <v>312</v>
      </c>
      <c r="P30" s="18" t="s">
        <v>211</v>
      </c>
      <c r="Q30" s="61" t="s">
        <v>212</v>
      </c>
      <c r="R30" s="67" t="s">
        <v>57</v>
      </c>
      <c r="S30" s="61" t="s">
        <v>63</v>
      </c>
      <c r="T30" s="18" t="s">
        <v>213</v>
      </c>
      <c r="U30" s="2"/>
      <c r="V30" s="52" t="s">
        <v>214</v>
      </c>
      <c r="W30" s="20"/>
      <c r="X30" s="54">
        <v>20250903</v>
      </c>
      <c r="Y30" s="65" t="s">
        <v>294</v>
      </c>
      <c r="Z30" s="58">
        <v>999</v>
      </c>
      <c r="AA30" s="55" t="s">
        <v>215</v>
      </c>
      <c r="AB30">
        <v>4</v>
      </c>
      <c r="AF30" t="s">
        <v>308</v>
      </c>
      <c r="AH30" s="2" t="s">
        <v>216</v>
      </c>
      <c r="AI30" s="18" t="s">
        <v>64</v>
      </c>
    </row>
    <row r="31" spans="1:35" ht="15" x14ac:dyDescent="0.25">
      <c r="A31" s="14">
        <v>28</v>
      </c>
      <c r="B31" s="60">
        <v>30</v>
      </c>
      <c r="C31" s="61" t="s">
        <v>210</v>
      </c>
      <c r="D31" s="62" t="s">
        <v>56</v>
      </c>
      <c r="E31" s="62" t="s">
        <v>57</v>
      </c>
      <c r="F31" s="16" t="s">
        <v>58</v>
      </c>
      <c r="G31" s="50" t="s">
        <v>58</v>
      </c>
      <c r="H31" s="18" t="s">
        <v>60</v>
      </c>
      <c r="I31" s="18">
        <v>1</v>
      </c>
      <c r="J31" s="18" t="s">
        <v>331</v>
      </c>
      <c r="L31">
        <v>403</v>
      </c>
      <c r="N31">
        <v>30</v>
      </c>
      <c r="O31" t="s">
        <v>279</v>
      </c>
      <c r="P31" s="18" t="s">
        <v>211</v>
      </c>
      <c r="Q31" s="61" t="s">
        <v>212</v>
      </c>
      <c r="R31" s="67" t="s">
        <v>57</v>
      </c>
      <c r="S31" s="61" t="s">
        <v>63</v>
      </c>
      <c r="T31" s="18" t="s">
        <v>213</v>
      </c>
      <c r="V31" s="52" t="s">
        <v>214</v>
      </c>
      <c r="W31" s="20"/>
      <c r="X31" s="54">
        <v>20250903</v>
      </c>
      <c r="Y31" s="65" t="s">
        <v>294</v>
      </c>
      <c r="Z31" s="58">
        <v>999</v>
      </c>
      <c r="AA31" s="55" t="s">
        <v>215</v>
      </c>
      <c r="AB31">
        <v>3</v>
      </c>
      <c r="AF31" t="s">
        <v>308</v>
      </c>
      <c r="AH31" s="2" t="s">
        <v>216</v>
      </c>
      <c r="AI31" s="18" t="s">
        <v>64</v>
      </c>
    </row>
    <row r="32" spans="1:35" ht="15" x14ac:dyDescent="0.25">
      <c r="A32" s="14">
        <v>29</v>
      </c>
      <c r="B32" s="60">
        <v>31</v>
      </c>
      <c r="C32" s="61" t="s">
        <v>210</v>
      </c>
      <c r="D32" s="62" t="s">
        <v>56</v>
      </c>
      <c r="E32" s="62" t="s">
        <v>57</v>
      </c>
      <c r="F32" s="16" t="s">
        <v>58</v>
      </c>
      <c r="G32" s="50" t="s">
        <v>58</v>
      </c>
      <c r="H32" s="18" t="s">
        <v>60</v>
      </c>
      <c r="I32" s="18">
        <v>1</v>
      </c>
      <c r="J32" s="18" t="s">
        <v>332</v>
      </c>
      <c r="L32">
        <v>403</v>
      </c>
      <c r="N32">
        <v>30</v>
      </c>
      <c r="O32" t="s">
        <v>280</v>
      </c>
      <c r="P32" s="18" t="s">
        <v>211</v>
      </c>
      <c r="Q32" s="61" t="s">
        <v>212</v>
      </c>
      <c r="R32" s="67" t="s">
        <v>57</v>
      </c>
      <c r="S32" s="61" t="s">
        <v>63</v>
      </c>
      <c r="T32" s="18" t="s">
        <v>213</v>
      </c>
      <c r="U32" s="2"/>
      <c r="V32" s="52" t="s">
        <v>214</v>
      </c>
      <c r="W32" s="20"/>
      <c r="X32" s="54">
        <v>20250903</v>
      </c>
      <c r="Y32" s="65" t="s">
        <v>294</v>
      </c>
      <c r="Z32" s="58">
        <v>999</v>
      </c>
      <c r="AA32" s="55" t="s">
        <v>215</v>
      </c>
      <c r="AB32">
        <v>3</v>
      </c>
      <c r="AF32" t="s">
        <v>308</v>
      </c>
      <c r="AH32" s="2" t="s">
        <v>216</v>
      </c>
      <c r="AI32" s="18" t="s">
        <v>64</v>
      </c>
    </row>
    <row r="33" spans="1:35" ht="15" x14ac:dyDescent="0.25">
      <c r="A33" s="14">
        <v>30</v>
      </c>
      <c r="B33" s="60">
        <v>32</v>
      </c>
      <c r="C33" s="61" t="s">
        <v>210</v>
      </c>
      <c r="D33" s="62" t="s">
        <v>56</v>
      </c>
      <c r="E33" s="62" t="s">
        <v>57</v>
      </c>
      <c r="F33" s="16" t="s">
        <v>58</v>
      </c>
      <c r="G33" s="50" t="s">
        <v>58</v>
      </c>
      <c r="H33" s="18" t="s">
        <v>60</v>
      </c>
      <c r="I33" s="18">
        <v>1</v>
      </c>
      <c r="J33" s="18" t="s">
        <v>333</v>
      </c>
      <c r="L33">
        <v>403</v>
      </c>
      <c r="N33">
        <v>30</v>
      </c>
      <c r="O33" t="s">
        <v>313</v>
      </c>
      <c r="P33" s="18" t="s">
        <v>211</v>
      </c>
      <c r="Q33" s="61" t="s">
        <v>212</v>
      </c>
      <c r="R33" s="67" t="s">
        <v>57</v>
      </c>
      <c r="S33" s="61" t="s">
        <v>63</v>
      </c>
      <c r="T33" s="18" t="s">
        <v>213</v>
      </c>
      <c r="U33" s="2"/>
      <c r="V33" s="52" t="s">
        <v>214</v>
      </c>
      <c r="W33" s="20"/>
      <c r="X33" s="54">
        <v>20250903</v>
      </c>
      <c r="Y33" s="65" t="s">
        <v>294</v>
      </c>
      <c r="Z33" s="58">
        <v>999</v>
      </c>
      <c r="AA33" s="55" t="s">
        <v>215</v>
      </c>
      <c r="AB33">
        <v>6</v>
      </c>
      <c r="AF33" t="s">
        <v>308</v>
      </c>
      <c r="AH33" s="2" t="s">
        <v>216</v>
      </c>
      <c r="AI33" s="18" t="s">
        <v>64</v>
      </c>
    </row>
    <row r="34" spans="1:35" ht="15" x14ac:dyDescent="0.25">
      <c r="A34" s="14">
        <v>31</v>
      </c>
      <c r="B34" s="60">
        <v>33</v>
      </c>
      <c r="C34" s="61" t="s">
        <v>210</v>
      </c>
      <c r="D34" s="62" t="s">
        <v>56</v>
      </c>
      <c r="E34" s="62" t="s">
        <v>57</v>
      </c>
      <c r="F34" s="16" t="s">
        <v>58</v>
      </c>
      <c r="G34" s="50" t="s">
        <v>58</v>
      </c>
      <c r="H34" s="18" t="s">
        <v>60</v>
      </c>
      <c r="I34" s="18">
        <v>1</v>
      </c>
      <c r="J34" s="18" t="s">
        <v>334</v>
      </c>
      <c r="L34">
        <v>403</v>
      </c>
      <c r="N34">
        <v>30</v>
      </c>
      <c r="O34" t="s">
        <v>311</v>
      </c>
      <c r="P34" s="18" t="s">
        <v>211</v>
      </c>
      <c r="Q34" s="61" t="s">
        <v>212</v>
      </c>
      <c r="R34" s="67" t="s">
        <v>57</v>
      </c>
      <c r="S34" s="61" t="s">
        <v>63</v>
      </c>
      <c r="T34" s="18" t="s">
        <v>213</v>
      </c>
      <c r="V34" s="52" t="s">
        <v>214</v>
      </c>
      <c r="W34" s="20"/>
      <c r="X34" s="54">
        <v>20250903</v>
      </c>
      <c r="Y34" s="65" t="s">
        <v>294</v>
      </c>
      <c r="Z34" s="58">
        <v>999</v>
      </c>
      <c r="AA34" s="55" t="s">
        <v>215</v>
      </c>
      <c r="AB34">
        <v>3</v>
      </c>
      <c r="AF34" t="s">
        <v>308</v>
      </c>
      <c r="AH34" s="2" t="s">
        <v>216</v>
      </c>
      <c r="AI34" s="18" t="s">
        <v>64</v>
      </c>
    </row>
    <row r="35" spans="1:35" ht="15" x14ac:dyDescent="0.25">
      <c r="A35" s="14">
        <v>32</v>
      </c>
      <c r="B35" s="60">
        <v>34</v>
      </c>
      <c r="C35" s="61" t="s">
        <v>210</v>
      </c>
      <c r="D35" s="62" t="s">
        <v>56</v>
      </c>
      <c r="E35" s="62" t="s">
        <v>57</v>
      </c>
      <c r="F35" s="16" t="s">
        <v>58</v>
      </c>
      <c r="G35" s="50" t="s">
        <v>58</v>
      </c>
      <c r="H35" s="18" t="s">
        <v>60</v>
      </c>
      <c r="I35" s="18">
        <v>1</v>
      </c>
      <c r="J35" s="18" t="s">
        <v>335</v>
      </c>
      <c r="L35">
        <v>403</v>
      </c>
      <c r="N35">
        <v>30</v>
      </c>
      <c r="O35" t="s">
        <v>282</v>
      </c>
      <c r="P35" s="18" t="s">
        <v>211</v>
      </c>
      <c r="Q35" s="61" t="s">
        <v>212</v>
      </c>
      <c r="R35" s="67" t="s">
        <v>57</v>
      </c>
      <c r="S35" s="61" t="s">
        <v>63</v>
      </c>
      <c r="T35" s="18" t="s">
        <v>213</v>
      </c>
      <c r="U35" s="2"/>
      <c r="V35" s="52" t="s">
        <v>214</v>
      </c>
      <c r="W35" s="20"/>
      <c r="X35" s="54">
        <v>20250903</v>
      </c>
      <c r="Y35" s="65" t="s">
        <v>294</v>
      </c>
      <c r="Z35" s="58">
        <v>999</v>
      </c>
      <c r="AA35" s="55" t="s">
        <v>215</v>
      </c>
      <c r="AB35">
        <v>3</v>
      </c>
      <c r="AF35" t="s">
        <v>308</v>
      </c>
      <c r="AH35" s="2" t="s">
        <v>216</v>
      </c>
      <c r="AI35" s="18" t="s">
        <v>64</v>
      </c>
    </row>
    <row r="36" spans="1:35" ht="15" x14ac:dyDescent="0.25">
      <c r="A36" s="14">
        <v>33</v>
      </c>
      <c r="B36" s="60">
        <v>35</v>
      </c>
      <c r="C36" s="61" t="s">
        <v>210</v>
      </c>
      <c r="D36" s="62" t="s">
        <v>56</v>
      </c>
      <c r="E36" s="62" t="s">
        <v>57</v>
      </c>
      <c r="F36" s="16" t="s">
        <v>58</v>
      </c>
      <c r="G36" s="50" t="s">
        <v>58</v>
      </c>
      <c r="H36" s="18" t="s">
        <v>60</v>
      </c>
      <c r="I36" s="18">
        <v>1</v>
      </c>
      <c r="J36" s="18" t="s">
        <v>336</v>
      </c>
      <c r="L36">
        <v>403</v>
      </c>
      <c r="N36">
        <v>30</v>
      </c>
      <c r="O36" t="s">
        <v>314</v>
      </c>
      <c r="P36" s="18" t="s">
        <v>211</v>
      </c>
      <c r="Q36" s="61" t="s">
        <v>212</v>
      </c>
      <c r="R36" s="67" t="s">
        <v>57</v>
      </c>
      <c r="S36" s="61" t="s">
        <v>63</v>
      </c>
      <c r="T36" s="18" t="s">
        <v>213</v>
      </c>
      <c r="U36" s="2"/>
      <c r="V36" s="52" t="s">
        <v>214</v>
      </c>
      <c r="W36" s="20"/>
      <c r="X36" s="54">
        <v>20250903</v>
      </c>
      <c r="Y36" s="65" t="s">
        <v>294</v>
      </c>
      <c r="Z36" s="58">
        <v>999</v>
      </c>
      <c r="AA36" s="55" t="s">
        <v>215</v>
      </c>
      <c r="AB36">
        <v>3</v>
      </c>
      <c r="AF36" t="s">
        <v>308</v>
      </c>
      <c r="AH36" s="2" t="s">
        <v>216</v>
      </c>
      <c r="AI36" s="18" t="s">
        <v>64</v>
      </c>
    </row>
    <row r="37" spans="1:35" ht="15" x14ac:dyDescent="0.25">
      <c r="A37" s="14">
        <v>34</v>
      </c>
      <c r="B37" s="60">
        <v>36</v>
      </c>
      <c r="C37" s="61" t="s">
        <v>210</v>
      </c>
      <c r="D37" s="62" t="s">
        <v>56</v>
      </c>
      <c r="E37" s="62" t="s">
        <v>57</v>
      </c>
      <c r="F37" s="16" t="s">
        <v>58</v>
      </c>
      <c r="G37" s="50" t="s">
        <v>58</v>
      </c>
      <c r="H37" s="18" t="s">
        <v>60</v>
      </c>
      <c r="I37" s="18">
        <v>1</v>
      </c>
      <c r="J37" s="18" t="s">
        <v>337</v>
      </c>
      <c r="L37">
        <v>403</v>
      </c>
      <c r="N37">
        <v>30</v>
      </c>
      <c r="O37" t="s">
        <v>283</v>
      </c>
      <c r="P37" s="18" t="s">
        <v>211</v>
      </c>
      <c r="Q37" s="61" t="s">
        <v>212</v>
      </c>
      <c r="R37" s="67" t="s">
        <v>57</v>
      </c>
      <c r="S37" s="61" t="s">
        <v>63</v>
      </c>
      <c r="T37" s="18" t="s">
        <v>213</v>
      </c>
      <c r="V37" s="52" t="s">
        <v>214</v>
      </c>
      <c r="W37" s="20"/>
      <c r="X37" s="54">
        <v>20250903</v>
      </c>
      <c r="Y37" s="65" t="s">
        <v>294</v>
      </c>
      <c r="Z37" s="58">
        <v>999</v>
      </c>
      <c r="AA37" s="55" t="s">
        <v>215</v>
      </c>
      <c r="AB37">
        <v>6</v>
      </c>
      <c r="AF37" t="s">
        <v>308</v>
      </c>
      <c r="AH37" s="2" t="s">
        <v>216</v>
      </c>
      <c r="AI37" s="18" t="s">
        <v>64</v>
      </c>
    </row>
    <row r="38" spans="1:35" ht="15" x14ac:dyDescent="0.25">
      <c r="A38" s="14">
        <v>35</v>
      </c>
      <c r="B38" s="60">
        <v>37</v>
      </c>
      <c r="C38" s="61" t="s">
        <v>210</v>
      </c>
      <c r="D38" s="62" t="s">
        <v>56</v>
      </c>
      <c r="E38" s="62" t="s">
        <v>57</v>
      </c>
      <c r="F38" s="16" t="s">
        <v>58</v>
      </c>
      <c r="G38" s="50" t="s">
        <v>58</v>
      </c>
      <c r="H38" s="18" t="s">
        <v>60</v>
      </c>
      <c r="I38" s="18">
        <v>1</v>
      </c>
      <c r="J38" s="18" t="s">
        <v>338</v>
      </c>
      <c r="L38">
        <v>403</v>
      </c>
      <c r="N38">
        <v>30</v>
      </c>
      <c r="O38" t="s">
        <v>285</v>
      </c>
      <c r="P38" s="18" t="s">
        <v>211</v>
      </c>
      <c r="Q38" s="61" t="s">
        <v>212</v>
      </c>
      <c r="R38" s="67" t="s">
        <v>57</v>
      </c>
      <c r="S38" s="61" t="s">
        <v>63</v>
      </c>
      <c r="T38" s="18" t="s">
        <v>213</v>
      </c>
      <c r="U38" s="2"/>
      <c r="V38" s="52" t="s">
        <v>214</v>
      </c>
      <c r="W38" s="20"/>
      <c r="X38" s="54">
        <v>20250903</v>
      </c>
      <c r="Y38" s="65" t="s">
        <v>294</v>
      </c>
      <c r="Z38" s="58">
        <v>999</v>
      </c>
      <c r="AA38" s="55" t="s">
        <v>215</v>
      </c>
      <c r="AB38">
        <v>3</v>
      </c>
      <c r="AF38" t="s">
        <v>308</v>
      </c>
      <c r="AH38" s="2" t="s">
        <v>216</v>
      </c>
      <c r="AI38" s="18" t="s">
        <v>64</v>
      </c>
    </row>
    <row r="39" spans="1:35" ht="15" x14ac:dyDescent="0.25">
      <c r="A39" s="14">
        <v>36</v>
      </c>
      <c r="B39" s="60">
        <v>38</v>
      </c>
      <c r="C39" s="61" t="s">
        <v>210</v>
      </c>
      <c r="D39" s="62" t="s">
        <v>56</v>
      </c>
      <c r="E39" s="62" t="s">
        <v>57</v>
      </c>
      <c r="F39" s="16" t="s">
        <v>58</v>
      </c>
      <c r="G39" s="50" t="s">
        <v>58</v>
      </c>
      <c r="H39" s="18" t="s">
        <v>60</v>
      </c>
      <c r="I39" s="18">
        <v>1</v>
      </c>
      <c r="J39" s="18" t="s">
        <v>339</v>
      </c>
      <c r="L39">
        <v>403</v>
      </c>
      <c r="N39">
        <v>30</v>
      </c>
      <c r="O39" t="s">
        <v>315</v>
      </c>
      <c r="P39" s="18" t="s">
        <v>211</v>
      </c>
      <c r="Q39" s="61" t="s">
        <v>212</v>
      </c>
      <c r="R39" s="67" t="s">
        <v>57</v>
      </c>
      <c r="S39" s="61" t="s">
        <v>63</v>
      </c>
      <c r="T39" s="18" t="s">
        <v>213</v>
      </c>
      <c r="U39" s="2"/>
      <c r="V39" s="52" t="s">
        <v>214</v>
      </c>
      <c r="W39" s="20"/>
      <c r="X39" s="54">
        <v>20250903</v>
      </c>
      <c r="Y39" s="65" t="s">
        <v>294</v>
      </c>
      <c r="Z39" s="58">
        <v>999</v>
      </c>
      <c r="AA39" s="55" t="s">
        <v>215</v>
      </c>
      <c r="AB39">
        <v>3</v>
      </c>
      <c r="AF39" t="s">
        <v>308</v>
      </c>
      <c r="AH39" s="2" t="s">
        <v>216</v>
      </c>
      <c r="AI39" s="18" t="s">
        <v>64</v>
      </c>
    </row>
    <row r="40" spans="1:35" ht="15" x14ac:dyDescent="0.25">
      <c r="A40" s="14">
        <v>37</v>
      </c>
      <c r="B40" s="60">
        <v>39</v>
      </c>
      <c r="C40" s="61" t="s">
        <v>210</v>
      </c>
      <c r="D40" s="62" t="s">
        <v>56</v>
      </c>
      <c r="E40" s="62" t="s">
        <v>57</v>
      </c>
      <c r="F40" s="16" t="s">
        <v>58</v>
      </c>
      <c r="G40" s="50" t="s">
        <v>58</v>
      </c>
      <c r="H40" s="18" t="s">
        <v>60</v>
      </c>
      <c r="I40" s="18">
        <v>1</v>
      </c>
      <c r="J40" s="18" t="s">
        <v>340</v>
      </c>
      <c r="L40">
        <v>403</v>
      </c>
      <c r="N40">
        <v>30</v>
      </c>
      <c r="O40" t="s">
        <v>312</v>
      </c>
      <c r="P40" s="18" t="s">
        <v>211</v>
      </c>
      <c r="Q40" s="61" t="s">
        <v>212</v>
      </c>
      <c r="R40" s="67" t="s">
        <v>57</v>
      </c>
      <c r="S40" s="61" t="s">
        <v>63</v>
      </c>
      <c r="T40" s="18" t="s">
        <v>213</v>
      </c>
      <c r="V40" s="52" t="s">
        <v>214</v>
      </c>
      <c r="W40" s="20"/>
      <c r="X40" s="54">
        <v>20250903</v>
      </c>
      <c r="Y40" s="65" t="s">
        <v>294</v>
      </c>
      <c r="Z40" s="58">
        <v>999</v>
      </c>
      <c r="AA40" s="55" t="s">
        <v>215</v>
      </c>
      <c r="AB40">
        <v>3</v>
      </c>
      <c r="AF40" t="s">
        <v>308</v>
      </c>
      <c r="AH40" s="2" t="s">
        <v>216</v>
      </c>
      <c r="AI40" s="18" t="s">
        <v>64</v>
      </c>
    </row>
    <row r="41" spans="1:35" ht="15" x14ac:dyDescent="0.25">
      <c r="A41" s="14">
        <v>38</v>
      </c>
      <c r="B41" s="60">
        <v>40</v>
      </c>
      <c r="C41" s="61" t="s">
        <v>210</v>
      </c>
      <c r="D41" s="62" t="s">
        <v>56</v>
      </c>
      <c r="E41" s="62" t="s">
        <v>57</v>
      </c>
      <c r="F41" s="16" t="s">
        <v>58</v>
      </c>
      <c r="G41" s="50" t="s">
        <v>58</v>
      </c>
      <c r="H41" s="18" t="s">
        <v>60</v>
      </c>
      <c r="I41" s="18">
        <v>1</v>
      </c>
      <c r="J41" s="18" t="s">
        <v>341</v>
      </c>
      <c r="L41">
        <v>403</v>
      </c>
      <c r="N41">
        <v>32</v>
      </c>
      <c r="O41" t="s">
        <v>279</v>
      </c>
      <c r="P41" s="18" t="s">
        <v>211</v>
      </c>
      <c r="Q41" s="61" t="s">
        <v>212</v>
      </c>
      <c r="R41" s="67" t="s">
        <v>57</v>
      </c>
      <c r="S41" s="61" t="s">
        <v>63</v>
      </c>
      <c r="T41" s="18" t="s">
        <v>213</v>
      </c>
      <c r="U41" s="2"/>
      <c r="V41" s="52" t="s">
        <v>214</v>
      </c>
      <c r="W41" s="20"/>
      <c r="X41" s="54">
        <v>20250903</v>
      </c>
      <c r="Y41" s="65" t="s">
        <v>294</v>
      </c>
      <c r="Z41" s="58">
        <v>999</v>
      </c>
      <c r="AA41" s="55" t="s">
        <v>215</v>
      </c>
      <c r="AB41">
        <v>3</v>
      </c>
      <c r="AF41" t="s">
        <v>308</v>
      </c>
      <c r="AH41" s="2" t="s">
        <v>216</v>
      </c>
      <c r="AI41" s="18" t="s">
        <v>64</v>
      </c>
    </row>
    <row r="42" spans="1:35" ht="15" x14ac:dyDescent="0.25">
      <c r="A42" s="14">
        <v>39</v>
      </c>
      <c r="B42" s="60">
        <v>41</v>
      </c>
      <c r="C42" s="61" t="s">
        <v>210</v>
      </c>
      <c r="D42" s="62" t="s">
        <v>56</v>
      </c>
      <c r="E42" s="62" t="s">
        <v>57</v>
      </c>
      <c r="F42" s="16" t="s">
        <v>58</v>
      </c>
      <c r="G42" s="50" t="s">
        <v>58</v>
      </c>
      <c r="H42" s="18" t="s">
        <v>60</v>
      </c>
      <c r="I42" s="18">
        <v>1</v>
      </c>
      <c r="J42" s="18" t="s">
        <v>342</v>
      </c>
      <c r="L42">
        <v>403</v>
      </c>
      <c r="N42">
        <v>32</v>
      </c>
      <c r="O42" t="s">
        <v>280</v>
      </c>
      <c r="P42" s="18" t="s">
        <v>211</v>
      </c>
      <c r="Q42" s="61" t="s">
        <v>212</v>
      </c>
      <c r="R42" s="67" t="s">
        <v>57</v>
      </c>
      <c r="S42" s="61" t="s">
        <v>63</v>
      </c>
      <c r="T42" s="18" t="s">
        <v>213</v>
      </c>
      <c r="U42" s="2"/>
      <c r="V42" s="52" t="s">
        <v>214</v>
      </c>
      <c r="W42" s="20"/>
      <c r="X42" s="54">
        <v>20250903</v>
      </c>
      <c r="Y42" s="65" t="s">
        <v>294</v>
      </c>
      <c r="Z42" s="58">
        <v>999</v>
      </c>
      <c r="AA42" s="55" t="s">
        <v>215</v>
      </c>
      <c r="AB42">
        <v>3</v>
      </c>
      <c r="AF42" t="s">
        <v>308</v>
      </c>
      <c r="AH42" s="2" t="s">
        <v>216</v>
      </c>
      <c r="AI42" s="18" t="s">
        <v>64</v>
      </c>
    </row>
    <row r="43" spans="1:35" ht="15" x14ac:dyDescent="0.25">
      <c r="A43" s="14">
        <v>40</v>
      </c>
      <c r="B43" s="60">
        <v>42</v>
      </c>
      <c r="C43" s="61" t="s">
        <v>210</v>
      </c>
      <c r="D43" s="62" t="s">
        <v>56</v>
      </c>
      <c r="E43" s="62" t="s">
        <v>57</v>
      </c>
      <c r="F43" s="16" t="s">
        <v>58</v>
      </c>
      <c r="G43" s="50" t="s">
        <v>58</v>
      </c>
      <c r="H43" s="18" t="s">
        <v>60</v>
      </c>
      <c r="I43" s="18">
        <v>1</v>
      </c>
      <c r="J43" s="18" t="s">
        <v>343</v>
      </c>
      <c r="L43">
        <v>403</v>
      </c>
      <c r="N43">
        <v>32</v>
      </c>
      <c r="O43" t="s">
        <v>313</v>
      </c>
      <c r="P43" s="18" t="s">
        <v>211</v>
      </c>
      <c r="Q43" s="61" t="s">
        <v>212</v>
      </c>
      <c r="R43" s="67" t="s">
        <v>57</v>
      </c>
      <c r="S43" s="61" t="s">
        <v>63</v>
      </c>
      <c r="T43" s="18" t="s">
        <v>213</v>
      </c>
      <c r="V43" s="52" t="s">
        <v>214</v>
      </c>
      <c r="W43" s="20"/>
      <c r="X43" s="54">
        <v>20250903</v>
      </c>
      <c r="Y43" s="65" t="s">
        <v>294</v>
      </c>
      <c r="Z43" s="58">
        <v>999</v>
      </c>
      <c r="AA43" s="55" t="s">
        <v>215</v>
      </c>
      <c r="AB43">
        <v>6</v>
      </c>
      <c r="AF43" t="s">
        <v>308</v>
      </c>
      <c r="AH43" s="2" t="s">
        <v>216</v>
      </c>
      <c r="AI43" s="18" t="s">
        <v>64</v>
      </c>
    </row>
    <row r="44" spans="1:35" ht="15" x14ac:dyDescent="0.25">
      <c r="A44" s="14">
        <v>41</v>
      </c>
      <c r="B44" s="60">
        <v>43</v>
      </c>
      <c r="C44" s="61" t="s">
        <v>210</v>
      </c>
      <c r="D44" s="62" t="s">
        <v>56</v>
      </c>
      <c r="E44" s="62" t="s">
        <v>57</v>
      </c>
      <c r="F44" s="16" t="s">
        <v>58</v>
      </c>
      <c r="G44" s="50" t="s">
        <v>58</v>
      </c>
      <c r="H44" s="18" t="s">
        <v>60</v>
      </c>
      <c r="I44" s="18">
        <v>1</v>
      </c>
      <c r="J44" s="18" t="s">
        <v>344</v>
      </c>
      <c r="L44">
        <v>403</v>
      </c>
      <c r="N44">
        <v>32</v>
      </c>
      <c r="O44" t="s">
        <v>311</v>
      </c>
      <c r="P44" s="18" t="s">
        <v>211</v>
      </c>
      <c r="Q44" s="61" t="s">
        <v>212</v>
      </c>
      <c r="R44" s="67" t="s">
        <v>57</v>
      </c>
      <c r="S44" s="61" t="s">
        <v>63</v>
      </c>
      <c r="T44" s="18" t="s">
        <v>213</v>
      </c>
      <c r="U44" s="2"/>
      <c r="V44" s="52" t="s">
        <v>214</v>
      </c>
      <c r="W44" s="20"/>
      <c r="X44" s="54">
        <v>20250903</v>
      </c>
      <c r="Y44" s="65" t="s">
        <v>294</v>
      </c>
      <c r="Z44" s="58">
        <v>999</v>
      </c>
      <c r="AA44" s="55" t="s">
        <v>215</v>
      </c>
      <c r="AB44">
        <v>3</v>
      </c>
      <c r="AF44" t="s">
        <v>308</v>
      </c>
      <c r="AH44" s="2" t="s">
        <v>216</v>
      </c>
      <c r="AI44" s="18" t="s">
        <v>64</v>
      </c>
    </row>
    <row r="45" spans="1:35" ht="15" x14ac:dyDescent="0.25">
      <c r="A45" s="14">
        <v>42</v>
      </c>
      <c r="B45" s="60">
        <v>44</v>
      </c>
      <c r="C45" s="61" t="s">
        <v>210</v>
      </c>
      <c r="D45" s="62" t="s">
        <v>56</v>
      </c>
      <c r="E45" s="62" t="s">
        <v>57</v>
      </c>
      <c r="F45" s="16" t="s">
        <v>58</v>
      </c>
      <c r="G45" s="50" t="s">
        <v>58</v>
      </c>
      <c r="H45" s="18" t="s">
        <v>60</v>
      </c>
      <c r="I45" s="18">
        <v>1</v>
      </c>
      <c r="J45" s="18" t="s">
        <v>345</v>
      </c>
      <c r="L45">
        <v>403</v>
      </c>
      <c r="N45">
        <v>32</v>
      </c>
      <c r="O45" t="s">
        <v>282</v>
      </c>
      <c r="P45" s="18" t="s">
        <v>211</v>
      </c>
      <c r="Q45" s="61" t="s">
        <v>212</v>
      </c>
      <c r="R45" s="67" t="s">
        <v>57</v>
      </c>
      <c r="S45" s="61" t="s">
        <v>63</v>
      </c>
      <c r="T45" s="18" t="s">
        <v>213</v>
      </c>
      <c r="U45" s="2"/>
      <c r="V45" s="52" t="s">
        <v>214</v>
      </c>
      <c r="W45" s="20"/>
      <c r="X45" s="54">
        <v>20250903</v>
      </c>
      <c r="Y45" s="65" t="s">
        <v>294</v>
      </c>
      <c r="Z45" s="58">
        <v>999</v>
      </c>
      <c r="AA45" s="55" t="s">
        <v>215</v>
      </c>
      <c r="AB45">
        <v>3</v>
      </c>
      <c r="AF45" t="s">
        <v>308</v>
      </c>
      <c r="AH45" s="2" t="s">
        <v>216</v>
      </c>
      <c r="AI45" s="18" t="s">
        <v>64</v>
      </c>
    </row>
    <row r="46" spans="1:35" ht="15" x14ac:dyDescent="0.25">
      <c r="A46" s="14">
        <v>43</v>
      </c>
      <c r="B46" s="60">
        <v>45</v>
      </c>
      <c r="C46" s="61" t="s">
        <v>210</v>
      </c>
      <c r="D46" s="62" t="s">
        <v>56</v>
      </c>
      <c r="E46" s="62" t="s">
        <v>57</v>
      </c>
      <c r="F46" s="16" t="s">
        <v>58</v>
      </c>
      <c r="G46" s="50" t="s">
        <v>58</v>
      </c>
      <c r="H46" s="18" t="s">
        <v>60</v>
      </c>
      <c r="I46" s="18">
        <v>1</v>
      </c>
      <c r="J46" s="18" t="s">
        <v>346</v>
      </c>
      <c r="L46">
        <v>403</v>
      </c>
      <c r="N46">
        <v>32</v>
      </c>
      <c r="O46" t="s">
        <v>314</v>
      </c>
      <c r="P46" s="18" t="s">
        <v>211</v>
      </c>
      <c r="Q46" s="61" t="s">
        <v>212</v>
      </c>
      <c r="R46" s="67" t="s">
        <v>57</v>
      </c>
      <c r="S46" s="61" t="s">
        <v>63</v>
      </c>
      <c r="T46" s="18" t="s">
        <v>213</v>
      </c>
      <c r="V46" s="52" t="s">
        <v>214</v>
      </c>
      <c r="W46" s="20"/>
      <c r="X46" s="54">
        <v>20250903</v>
      </c>
      <c r="Y46" s="65" t="s">
        <v>294</v>
      </c>
      <c r="Z46" s="58">
        <v>999</v>
      </c>
      <c r="AA46" s="55" t="s">
        <v>215</v>
      </c>
      <c r="AB46">
        <v>3</v>
      </c>
      <c r="AF46" t="s">
        <v>308</v>
      </c>
      <c r="AH46" s="2" t="s">
        <v>216</v>
      </c>
      <c r="AI46" s="18" t="s">
        <v>64</v>
      </c>
    </row>
    <row r="47" spans="1:35" ht="15" x14ac:dyDescent="0.25">
      <c r="A47" s="14">
        <v>44</v>
      </c>
      <c r="B47" s="60">
        <v>46</v>
      </c>
      <c r="C47" s="61" t="s">
        <v>210</v>
      </c>
      <c r="D47" s="62" t="s">
        <v>56</v>
      </c>
      <c r="E47" s="62" t="s">
        <v>57</v>
      </c>
      <c r="F47" s="16" t="s">
        <v>58</v>
      </c>
      <c r="G47" s="50" t="s">
        <v>58</v>
      </c>
      <c r="H47" s="18" t="s">
        <v>60</v>
      </c>
      <c r="I47" s="18">
        <v>1</v>
      </c>
      <c r="J47" s="18" t="s">
        <v>347</v>
      </c>
      <c r="L47">
        <v>403</v>
      </c>
      <c r="N47">
        <v>32</v>
      </c>
      <c r="O47" t="s">
        <v>283</v>
      </c>
      <c r="P47" s="18" t="s">
        <v>211</v>
      </c>
      <c r="Q47" s="61" t="s">
        <v>212</v>
      </c>
      <c r="R47" s="67" t="s">
        <v>57</v>
      </c>
      <c r="S47" s="61" t="s">
        <v>63</v>
      </c>
      <c r="T47" s="18" t="s">
        <v>213</v>
      </c>
      <c r="U47" s="2"/>
      <c r="V47" s="52" t="s">
        <v>214</v>
      </c>
      <c r="W47" s="20"/>
      <c r="X47" s="54">
        <v>20250903</v>
      </c>
      <c r="Y47" s="65" t="s">
        <v>294</v>
      </c>
      <c r="Z47" s="58">
        <v>999</v>
      </c>
      <c r="AA47" s="55" t="s">
        <v>215</v>
      </c>
      <c r="AB47">
        <v>6</v>
      </c>
      <c r="AF47" t="s">
        <v>308</v>
      </c>
      <c r="AH47" s="2" t="s">
        <v>216</v>
      </c>
      <c r="AI47" s="18" t="s">
        <v>64</v>
      </c>
    </row>
    <row r="48" spans="1:35" ht="15" x14ac:dyDescent="0.25">
      <c r="A48" s="14">
        <v>45</v>
      </c>
      <c r="B48" s="60">
        <v>47</v>
      </c>
      <c r="C48" s="61" t="s">
        <v>210</v>
      </c>
      <c r="D48" s="62" t="s">
        <v>56</v>
      </c>
      <c r="E48" s="62" t="s">
        <v>57</v>
      </c>
      <c r="F48" s="16" t="s">
        <v>58</v>
      </c>
      <c r="G48" s="50" t="s">
        <v>58</v>
      </c>
      <c r="H48" s="18" t="s">
        <v>60</v>
      </c>
      <c r="I48" s="18">
        <v>1</v>
      </c>
      <c r="J48" s="18" t="s">
        <v>348</v>
      </c>
      <c r="L48">
        <v>403</v>
      </c>
      <c r="N48">
        <v>32</v>
      </c>
      <c r="O48" t="s">
        <v>285</v>
      </c>
      <c r="P48" s="18" t="s">
        <v>211</v>
      </c>
      <c r="Q48" s="61" t="s">
        <v>212</v>
      </c>
      <c r="R48" s="67" t="s">
        <v>57</v>
      </c>
      <c r="S48" s="61" t="s">
        <v>63</v>
      </c>
      <c r="T48" s="18" t="s">
        <v>213</v>
      </c>
      <c r="U48" s="2"/>
      <c r="V48" s="52" t="s">
        <v>214</v>
      </c>
      <c r="W48" s="20"/>
      <c r="X48" s="54">
        <v>20250903</v>
      </c>
      <c r="Y48" s="65" t="s">
        <v>294</v>
      </c>
      <c r="Z48" s="58">
        <v>999</v>
      </c>
      <c r="AA48" s="55" t="s">
        <v>215</v>
      </c>
      <c r="AB48">
        <v>3</v>
      </c>
      <c r="AF48" t="s">
        <v>308</v>
      </c>
      <c r="AH48" s="2" t="s">
        <v>216</v>
      </c>
      <c r="AI48" s="18" t="s">
        <v>64</v>
      </c>
    </row>
    <row r="49" spans="1:35" ht="15" x14ac:dyDescent="0.25">
      <c r="A49" s="14">
        <v>46</v>
      </c>
      <c r="B49" s="60">
        <v>48</v>
      </c>
      <c r="C49" s="61" t="s">
        <v>210</v>
      </c>
      <c r="D49" s="62" t="s">
        <v>56</v>
      </c>
      <c r="E49" s="62" t="s">
        <v>57</v>
      </c>
      <c r="F49" s="16" t="s">
        <v>58</v>
      </c>
      <c r="G49" s="50" t="s">
        <v>58</v>
      </c>
      <c r="H49" s="18" t="s">
        <v>60</v>
      </c>
      <c r="I49" s="18">
        <v>1</v>
      </c>
      <c r="J49" s="18" t="s">
        <v>349</v>
      </c>
      <c r="L49">
        <v>403</v>
      </c>
      <c r="N49">
        <v>32</v>
      </c>
      <c r="O49" t="s">
        <v>315</v>
      </c>
      <c r="P49" s="18" t="s">
        <v>211</v>
      </c>
      <c r="Q49" s="61" t="s">
        <v>212</v>
      </c>
      <c r="R49" s="67" t="s">
        <v>57</v>
      </c>
      <c r="S49" s="61" t="s">
        <v>63</v>
      </c>
      <c r="T49" s="18" t="s">
        <v>213</v>
      </c>
      <c r="V49" s="52" t="s">
        <v>214</v>
      </c>
      <c r="W49" s="20"/>
      <c r="X49" s="54">
        <v>20250903</v>
      </c>
      <c r="Y49" s="65" t="s">
        <v>294</v>
      </c>
      <c r="Z49" s="58">
        <v>999</v>
      </c>
      <c r="AA49" s="55" t="s">
        <v>215</v>
      </c>
      <c r="AB49">
        <v>3</v>
      </c>
      <c r="AF49" t="s">
        <v>308</v>
      </c>
      <c r="AH49" s="2" t="s">
        <v>216</v>
      </c>
      <c r="AI49" s="18" t="s">
        <v>64</v>
      </c>
    </row>
    <row r="50" spans="1:35" ht="15" x14ac:dyDescent="0.25">
      <c r="A50" s="14">
        <v>47</v>
      </c>
      <c r="B50" s="60">
        <v>49</v>
      </c>
      <c r="C50" s="61" t="s">
        <v>210</v>
      </c>
      <c r="D50" s="62" t="s">
        <v>56</v>
      </c>
      <c r="E50" s="62" t="s">
        <v>57</v>
      </c>
      <c r="F50" s="16" t="s">
        <v>58</v>
      </c>
      <c r="G50" s="50" t="s">
        <v>58</v>
      </c>
      <c r="H50" s="18" t="s">
        <v>60</v>
      </c>
      <c r="I50" s="18">
        <v>1</v>
      </c>
      <c r="J50" s="18" t="s">
        <v>350</v>
      </c>
      <c r="L50">
        <v>403</v>
      </c>
      <c r="N50">
        <v>32</v>
      </c>
      <c r="O50" t="s">
        <v>312</v>
      </c>
      <c r="P50" s="18" t="s">
        <v>211</v>
      </c>
      <c r="Q50" s="61" t="s">
        <v>212</v>
      </c>
      <c r="R50" s="67" t="s">
        <v>57</v>
      </c>
      <c r="S50" s="61" t="s">
        <v>63</v>
      </c>
      <c r="T50" s="18" t="s">
        <v>213</v>
      </c>
      <c r="U50" s="2"/>
      <c r="V50" s="52" t="s">
        <v>214</v>
      </c>
      <c r="W50" s="20"/>
      <c r="X50" s="54">
        <v>20250903</v>
      </c>
      <c r="Y50" s="65" t="s">
        <v>294</v>
      </c>
      <c r="Z50" s="58">
        <v>999</v>
      </c>
      <c r="AA50" s="55" t="s">
        <v>215</v>
      </c>
      <c r="AB50">
        <v>3</v>
      </c>
      <c r="AF50" t="s">
        <v>308</v>
      </c>
      <c r="AH50" s="2" t="s">
        <v>216</v>
      </c>
      <c r="AI50" s="18" t="s">
        <v>64</v>
      </c>
    </row>
    <row r="51" spans="1:35" ht="15" x14ac:dyDescent="0.25">
      <c r="A51" s="14">
        <v>48</v>
      </c>
      <c r="B51" s="60">
        <v>50</v>
      </c>
      <c r="C51" s="61" t="s">
        <v>210</v>
      </c>
      <c r="D51" s="62" t="s">
        <v>56</v>
      </c>
      <c r="E51" s="62" t="s">
        <v>57</v>
      </c>
      <c r="F51" s="16" t="s">
        <v>58</v>
      </c>
      <c r="G51" s="50" t="s">
        <v>58</v>
      </c>
      <c r="H51" s="18" t="s">
        <v>60</v>
      </c>
      <c r="I51" s="18">
        <v>1</v>
      </c>
      <c r="J51" s="18" t="s">
        <v>351</v>
      </c>
      <c r="L51">
        <v>450</v>
      </c>
      <c r="N51" t="s">
        <v>319</v>
      </c>
      <c r="O51" t="s">
        <v>280</v>
      </c>
      <c r="P51" s="18" t="s">
        <v>211</v>
      </c>
      <c r="Q51" s="61" t="s">
        <v>212</v>
      </c>
      <c r="R51" s="67" t="s">
        <v>57</v>
      </c>
      <c r="S51" s="61" t="s">
        <v>63</v>
      </c>
      <c r="T51" s="18" t="s">
        <v>213</v>
      </c>
      <c r="U51" s="2"/>
      <c r="V51" s="52" t="s">
        <v>214</v>
      </c>
      <c r="W51" s="20"/>
      <c r="X51" s="54">
        <v>20250903</v>
      </c>
      <c r="Y51" s="65" t="s">
        <v>294</v>
      </c>
      <c r="Z51" s="58">
        <v>999</v>
      </c>
      <c r="AA51" s="55" t="s">
        <v>215</v>
      </c>
      <c r="AB51">
        <v>1</v>
      </c>
      <c r="AF51" t="s">
        <v>308</v>
      </c>
      <c r="AH51" s="2" t="s">
        <v>216</v>
      </c>
      <c r="AI51" s="18" t="s">
        <v>64</v>
      </c>
    </row>
    <row r="52" spans="1:35" ht="15" x14ac:dyDescent="0.25">
      <c r="A52" s="14">
        <v>49</v>
      </c>
      <c r="B52" s="60">
        <v>51</v>
      </c>
      <c r="C52" s="61" t="s">
        <v>210</v>
      </c>
      <c r="D52" s="62" t="s">
        <v>56</v>
      </c>
      <c r="E52" s="62" t="s">
        <v>57</v>
      </c>
      <c r="F52" s="16" t="s">
        <v>58</v>
      </c>
      <c r="G52" s="50" t="s">
        <v>58</v>
      </c>
      <c r="H52" s="18" t="s">
        <v>60</v>
      </c>
      <c r="I52" s="18">
        <v>1</v>
      </c>
      <c r="J52" s="18" t="s">
        <v>352</v>
      </c>
      <c r="L52">
        <v>450</v>
      </c>
      <c r="N52" t="s">
        <v>319</v>
      </c>
      <c r="O52" t="s">
        <v>313</v>
      </c>
      <c r="P52" s="18" t="s">
        <v>211</v>
      </c>
      <c r="Q52" s="61" t="s">
        <v>212</v>
      </c>
      <c r="R52" s="67" t="s">
        <v>57</v>
      </c>
      <c r="S52" s="61" t="s">
        <v>63</v>
      </c>
      <c r="T52" s="18" t="s">
        <v>213</v>
      </c>
      <c r="V52" s="52" t="s">
        <v>214</v>
      </c>
      <c r="W52" s="20"/>
      <c r="X52" s="54">
        <v>20250903</v>
      </c>
      <c r="Y52" s="65" t="s">
        <v>294</v>
      </c>
      <c r="Z52" s="58">
        <v>999</v>
      </c>
      <c r="AA52" s="55" t="s">
        <v>215</v>
      </c>
      <c r="AB52">
        <v>3</v>
      </c>
      <c r="AF52" t="s">
        <v>308</v>
      </c>
      <c r="AH52" s="2" t="s">
        <v>216</v>
      </c>
      <c r="AI52" s="18" t="s">
        <v>64</v>
      </c>
    </row>
    <row r="53" spans="1:35" ht="15" x14ac:dyDescent="0.25">
      <c r="A53" s="14">
        <v>50</v>
      </c>
      <c r="B53" s="60">
        <v>52</v>
      </c>
      <c r="C53" s="61" t="s">
        <v>210</v>
      </c>
      <c r="D53" s="62" t="s">
        <v>56</v>
      </c>
      <c r="E53" s="62" t="s">
        <v>57</v>
      </c>
      <c r="F53" s="16" t="s">
        <v>58</v>
      </c>
      <c r="G53" s="50" t="s">
        <v>58</v>
      </c>
      <c r="H53" s="18" t="s">
        <v>60</v>
      </c>
      <c r="I53" s="18">
        <v>1</v>
      </c>
      <c r="J53" s="18" t="s">
        <v>353</v>
      </c>
      <c r="L53">
        <v>450</v>
      </c>
      <c r="N53" t="s">
        <v>319</v>
      </c>
      <c r="O53" t="s">
        <v>282</v>
      </c>
      <c r="P53" s="18" t="s">
        <v>211</v>
      </c>
      <c r="Q53" s="61" t="s">
        <v>212</v>
      </c>
      <c r="R53" s="67" t="s">
        <v>57</v>
      </c>
      <c r="S53" s="61" t="s">
        <v>63</v>
      </c>
      <c r="T53" s="18" t="s">
        <v>213</v>
      </c>
      <c r="U53" s="2"/>
      <c r="V53" s="52" t="s">
        <v>214</v>
      </c>
      <c r="W53" s="20"/>
      <c r="X53" s="54">
        <v>20250903</v>
      </c>
      <c r="Y53" s="65" t="s">
        <v>294</v>
      </c>
      <c r="Z53" s="58">
        <v>999</v>
      </c>
      <c r="AA53" s="55" t="s">
        <v>215</v>
      </c>
      <c r="AB53">
        <v>1</v>
      </c>
      <c r="AF53" t="s">
        <v>308</v>
      </c>
      <c r="AH53" s="2" t="s">
        <v>216</v>
      </c>
      <c r="AI53" s="18" t="s">
        <v>64</v>
      </c>
    </row>
    <row r="54" spans="1:35" ht="15" x14ac:dyDescent="0.25">
      <c r="A54" s="14">
        <v>51</v>
      </c>
      <c r="B54" s="60">
        <v>53</v>
      </c>
      <c r="C54" s="61" t="s">
        <v>210</v>
      </c>
      <c r="D54" s="62" t="s">
        <v>56</v>
      </c>
      <c r="E54" s="62" t="s">
        <v>57</v>
      </c>
      <c r="F54" s="16" t="s">
        <v>58</v>
      </c>
      <c r="G54" s="50" t="s">
        <v>58</v>
      </c>
      <c r="H54" s="18" t="s">
        <v>60</v>
      </c>
      <c r="I54" s="18">
        <v>1</v>
      </c>
      <c r="J54" s="18" t="s">
        <v>354</v>
      </c>
      <c r="L54">
        <v>450</v>
      </c>
      <c r="N54" t="s">
        <v>319</v>
      </c>
      <c r="O54" t="s">
        <v>283</v>
      </c>
      <c r="P54" s="18" t="s">
        <v>211</v>
      </c>
      <c r="Q54" s="61" t="s">
        <v>212</v>
      </c>
      <c r="R54" s="67" t="s">
        <v>57</v>
      </c>
      <c r="S54" s="61" t="s">
        <v>63</v>
      </c>
      <c r="T54" s="18" t="s">
        <v>213</v>
      </c>
      <c r="U54" s="2"/>
      <c r="V54" s="52" t="s">
        <v>214</v>
      </c>
      <c r="W54" s="20"/>
      <c r="X54" s="54">
        <v>20250903</v>
      </c>
      <c r="Y54" s="65" t="s">
        <v>294</v>
      </c>
      <c r="Z54" s="58">
        <v>999</v>
      </c>
      <c r="AA54" s="55" t="s">
        <v>215</v>
      </c>
      <c r="AB54">
        <v>3</v>
      </c>
      <c r="AF54" t="s">
        <v>308</v>
      </c>
      <c r="AH54" s="2" t="s">
        <v>216</v>
      </c>
      <c r="AI54" s="18" t="s">
        <v>64</v>
      </c>
    </row>
    <row r="55" spans="1:35" ht="15" x14ac:dyDescent="0.25">
      <c r="A55" s="14">
        <v>52</v>
      </c>
      <c r="B55" s="60">
        <v>54</v>
      </c>
      <c r="C55" s="61" t="s">
        <v>210</v>
      </c>
      <c r="D55" s="62" t="s">
        <v>56</v>
      </c>
      <c r="E55" s="62" t="s">
        <v>57</v>
      </c>
      <c r="F55" s="16" t="s">
        <v>58</v>
      </c>
      <c r="G55" s="50" t="s">
        <v>58</v>
      </c>
      <c r="H55" s="18" t="s">
        <v>60</v>
      </c>
      <c r="I55" s="18">
        <v>1</v>
      </c>
      <c r="J55" s="18" t="s">
        <v>355</v>
      </c>
      <c r="L55">
        <v>450</v>
      </c>
      <c r="N55" t="s">
        <v>319</v>
      </c>
      <c r="O55" t="s">
        <v>316</v>
      </c>
      <c r="P55" s="18" t="s">
        <v>211</v>
      </c>
      <c r="Q55" s="61" t="s">
        <v>212</v>
      </c>
      <c r="R55" s="67" t="s">
        <v>57</v>
      </c>
      <c r="S55" s="61" t="s">
        <v>63</v>
      </c>
      <c r="T55" s="18" t="s">
        <v>213</v>
      </c>
      <c r="V55" s="52" t="s">
        <v>214</v>
      </c>
      <c r="W55" s="20"/>
      <c r="X55" s="54">
        <v>20250903</v>
      </c>
      <c r="Y55" s="65" t="s">
        <v>294</v>
      </c>
      <c r="Z55" s="58">
        <v>999</v>
      </c>
      <c r="AA55" s="55" t="s">
        <v>215</v>
      </c>
      <c r="AB55">
        <v>3</v>
      </c>
      <c r="AF55" t="s">
        <v>308</v>
      </c>
      <c r="AH55" s="2" t="s">
        <v>216</v>
      </c>
      <c r="AI55" s="18" t="s">
        <v>64</v>
      </c>
    </row>
    <row r="56" spans="1:35" ht="15" x14ac:dyDescent="0.25">
      <c r="A56" s="14">
        <v>53</v>
      </c>
      <c r="B56" s="60">
        <v>55</v>
      </c>
      <c r="C56" s="61" t="s">
        <v>210</v>
      </c>
      <c r="D56" s="62" t="s">
        <v>56</v>
      </c>
      <c r="E56" s="62" t="s">
        <v>57</v>
      </c>
      <c r="F56" s="16" t="s">
        <v>58</v>
      </c>
      <c r="G56" s="50" t="s">
        <v>58</v>
      </c>
      <c r="H56" s="18" t="s">
        <v>60</v>
      </c>
      <c r="I56" s="18">
        <v>1</v>
      </c>
      <c r="J56" s="18" t="s">
        <v>356</v>
      </c>
      <c r="L56">
        <v>450</v>
      </c>
      <c r="N56" t="s">
        <v>319</v>
      </c>
      <c r="O56" t="s">
        <v>315</v>
      </c>
      <c r="P56" s="18" t="s">
        <v>211</v>
      </c>
      <c r="Q56" s="61" t="s">
        <v>212</v>
      </c>
      <c r="R56" s="67" t="s">
        <v>57</v>
      </c>
      <c r="S56" s="61" t="s">
        <v>63</v>
      </c>
      <c r="T56" s="18" t="s">
        <v>213</v>
      </c>
      <c r="U56" s="2"/>
      <c r="V56" s="52" t="s">
        <v>214</v>
      </c>
      <c r="W56" s="20"/>
      <c r="X56" s="54">
        <v>20250903</v>
      </c>
      <c r="Y56" s="65" t="s">
        <v>294</v>
      </c>
      <c r="Z56" s="58">
        <v>999</v>
      </c>
      <c r="AA56" s="55" t="s">
        <v>215</v>
      </c>
      <c r="AB56">
        <v>1</v>
      </c>
      <c r="AF56" t="s">
        <v>308</v>
      </c>
      <c r="AH56" s="2" t="s">
        <v>216</v>
      </c>
      <c r="AI56" s="18" t="s">
        <v>64</v>
      </c>
    </row>
    <row r="57" spans="1:35" ht="15" x14ac:dyDescent="0.25">
      <c r="A57" s="14">
        <v>54</v>
      </c>
      <c r="B57" s="60">
        <v>56</v>
      </c>
      <c r="C57" s="61" t="s">
        <v>210</v>
      </c>
      <c r="D57" s="62" t="s">
        <v>56</v>
      </c>
      <c r="E57" s="62" t="s">
        <v>57</v>
      </c>
      <c r="F57" s="16" t="s">
        <v>58</v>
      </c>
      <c r="G57" s="50" t="s">
        <v>58</v>
      </c>
      <c r="H57" s="18" t="s">
        <v>60</v>
      </c>
      <c r="I57" s="18">
        <v>1</v>
      </c>
      <c r="J57" s="18" t="s">
        <v>357</v>
      </c>
      <c r="L57">
        <v>450</v>
      </c>
      <c r="N57" t="s">
        <v>317</v>
      </c>
      <c r="O57" t="s">
        <v>280</v>
      </c>
      <c r="P57" s="18" t="s">
        <v>211</v>
      </c>
      <c r="Q57" s="61" t="s">
        <v>212</v>
      </c>
      <c r="R57" s="67" t="s">
        <v>57</v>
      </c>
      <c r="S57" s="61" t="s">
        <v>63</v>
      </c>
      <c r="T57" s="18" t="s">
        <v>213</v>
      </c>
      <c r="U57" s="2"/>
      <c r="V57" s="52" t="s">
        <v>214</v>
      </c>
      <c r="W57" s="20"/>
      <c r="X57" s="54">
        <v>20250903</v>
      </c>
      <c r="Y57" s="65" t="s">
        <v>294</v>
      </c>
      <c r="Z57" s="58">
        <v>999</v>
      </c>
      <c r="AA57" s="55" t="s">
        <v>215</v>
      </c>
      <c r="AB57">
        <v>1</v>
      </c>
      <c r="AF57" t="s">
        <v>308</v>
      </c>
      <c r="AH57" s="2" t="s">
        <v>216</v>
      </c>
      <c r="AI57" s="18" t="s">
        <v>64</v>
      </c>
    </row>
    <row r="58" spans="1:35" ht="15" x14ac:dyDescent="0.25">
      <c r="A58" s="14">
        <v>55</v>
      </c>
      <c r="B58" s="60">
        <v>57</v>
      </c>
      <c r="C58" s="61" t="s">
        <v>210</v>
      </c>
      <c r="D58" s="62" t="s">
        <v>56</v>
      </c>
      <c r="E58" s="62" t="s">
        <v>57</v>
      </c>
      <c r="F58" s="16" t="s">
        <v>58</v>
      </c>
      <c r="G58" s="50" t="s">
        <v>58</v>
      </c>
      <c r="H58" s="18" t="s">
        <v>60</v>
      </c>
      <c r="I58" s="18">
        <v>1</v>
      </c>
      <c r="J58" s="18" t="s">
        <v>358</v>
      </c>
      <c r="L58">
        <v>450</v>
      </c>
      <c r="N58" t="s">
        <v>317</v>
      </c>
      <c r="O58" t="s">
        <v>313</v>
      </c>
      <c r="P58" s="18" t="s">
        <v>211</v>
      </c>
      <c r="Q58" s="61" t="s">
        <v>212</v>
      </c>
      <c r="R58" s="67" t="s">
        <v>57</v>
      </c>
      <c r="S58" s="61" t="s">
        <v>63</v>
      </c>
      <c r="T58" s="18" t="s">
        <v>213</v>
      </c>
      <c r="V58" s="52" t="s">
        <v>214</v>
      </c>
      <c r="W58" s="20"/>
      <c r="X58" s="54">
        <v>20250903</v>
      </c>
      <c r="Y58" s="65" t="s">
        <v>294</v>
      </c>
      <c r="Z58" s="58">
        <v>999</v>
      </c>
      <c r="AA58" s="55" t="s">
        <v>215</v>
      </c>
      <c r="AB58">
        <v>3</v>
      </c>
      <c r="AF58" t="s">
        <v>308</v>
      </c>
      <c r="AH58" s="2" t="s">
        <v>216</v>
      </c>
      <c r="AI58" s="18" t="s">
        <v>64</v>
      </c>
    </row>
    <row r="59" spans="1:35" ht="15" x14ac:dyDescent="0.25">
      <c r="A59" s="14">
        <v>56</v>
      </c>
      <c r="B59" s="60">
        <v>58</v>
      </c>
      <c r="C59" s="61" t="s">
        <v>210</v>
      </c>
      <c r="D59" s="62" t="s">
        <v>56</v>
      </c>
      <c r="E59" s="62" t="s">
        <v>57</v>
      </c>
      <c r="F59" s="16" t="s">
        <v>58</v>
      </c>
      <c r="G59" s="50" t="s">
        <v>58</v>
      </c>
      <c r="H59" s="18" t="s">
        <v>60</v>
      </c>
      <c r="I59" s="18">
        <v>1</v>
      </c>
      <c r="J59" s="18" t="s">
        <v>359</v>
      </c>
      <c r="L59">
        <v>450</v>
      </c>
      <c r="N59" t="s">
        <v>317</v>
      </c>
      <c r="O59" t="s">
        <v>282</v>
      </c>
      <c r="P59" s="18" t="s">
        <v>211</v>
      </c>
      <c r="Q59" s="61" t="s">
        <v>212</v>
      </c>
      <c r="R59" s="67" t="s">
        <v>57</v>
      </c>
      <c r="S59" s="61" t="s">
        <v>63</v>
      </c>
      <c r="T59" s="18" t="s">
        <v>213</v>
      </c>
      <c r="U59" s="2"/>
      <c r="V59" s="52" t="s">
        <v>214</v>
      </c>
      <c r="W59" s="20"/>
      <c r="X59" s="54">
        <v>20250903</v>
      </c>
      <c r="Y59" s="65" t="s">
        <v>294</v>
      </c>
      <c r="Z59" s="58">
        <v>999</v>
      </c>
      <c r="AA59" s="55" t="s">
        <v>215</v>
      </c>
      <c r="AB59">
        <v>1</v>
      </c>
      <c r="AF59" t="s">
        <v>308</v>
      </c>
      <c r="AH59" s="2" t="s">
        <v>216</v>
      </c>
      <c r="AI59" s="18" t="s">
        <v>64</v>
      </c>
    </row>
    <row r="60" spans="1:35" ht="15" x14ac:dyDescent="0.25">
      <c r="A60" s="14">
        <v>57</v>
      </c>
      <c r="B60" s="60">
        <v>59</v>
      </c>
      <c r="C60" s="61" t="s">
        <v>210</v>
      </c>
      <c r="D60" s="62" t="s">
        <v>56</v>
      </c>
      <c r="E60" s="62" t="s">
        <v>57</v>
      </c>
      <c r="F60" s="16" t="s">
        <v>58</v>
      </c>
      <c r="G60" s="50" t="s">
        <v>58</v>
      </c>
      <c r="H60" s="18" t="s">
        <v>60</v>
      </c>
      <c r="I60" s="18">
        <v>1</v>
      </c>
      <c r="J60" s="18" t="s">
        <v>360</v>
      </c>
      <c r="L60">
        <v>450</v>
      </c>
      <c r="N60" t="s">
        <v>317</v>
      </c>
      <c r="O60" t="s">
        <v>283</v>
      </c>
      <c r="P60" s="18" t="s">
        <v>211</v>
      </c>
      <c r="Q60" s="61" t="s">
        <v>212</v>
      </c>
      <c r="R60" s="67" t="s">
        <v>57</v>
      </c>
      <c r="S60" s="61" t="s">
        <v>63</v>
      </c>
      <c r="T60" s="18" t="s">
        <v>213</v>
      </c>
      <c r="U60" s="2"/>
      <c r="V60" s="52" t="s">
        <v>214</v>
      </c>
      <c r="W60" s="20"/>
      <c r="X60" s="54">
        <v>20250903</v>
      </c>
      <c r="Y60" s="65" t="s">
        <v>294</v>
      </c>
      <c r="Z60" s="58">
        <v>999</v>
      </c>
      <c r="AA60" s="55" t="s">
        <v>215</v>
      </c>
      <c r="AB60">
        <v>3</v>
      </c>
      <c r="AF60" t="s">
        <v>308</v>
      </c>
      <c r="AH60" s="2" t="s">
        <v>216</v>
      </c>
      <c r="AI60" s="18" t="s">
        <v>64</v>
      </c>
    </row>
    <row r="61" spans="1:35" ht="15" x14ac:dyDescent="0.25">
      <c r="A61" s="14">
        <v>58</v>
      </c>
      <c r="B61" s="60">
        <v>60</v>
      </c>
      <c r="C61" s="61" t="s">
        <v>210</v>
      </c>
      <c r="D61" s="62" t="s">
        <v>56</v>
      </c>
      <c r="E61" s="62" t="s">
        <v>57</v>
      </c>
      <c r="F61" s="16" t="s">
        <v>58</v>
      </c>
      <c r="G61" s="50" t="s">
        <v>58</v>
      </c>
      <c r="H61" s="18" t="s">
        <v>60</v>
      </c>
      <c r="I61" s="18">
        <v>1</v>
      </c>
      <c r="J61" s="18" t="s">
        <v>361</v>
      </c>
      <c r="L61">
        <v>450</v>
      </c>
      <c r="N61" t="s">
        <v>317</v>
      </c>
      <c r="O61" t="s">
        <v>316</v>
      </c>
      <c r="P61" s="18" t="s">
        <v>211</v>
      </c>
      <c r="Q61" s="61" t="s">
        <v>212</v>
      </c>
      <c r="R61" s="67" t="s">
        <v>57</v>
      </c>
      <c r="S61" s="61" t="s">
        <v>63</v>
      </c>
      <c r="T61" s="18" t="s">
        <v>213</v>
      </c>
      <c r="V61" s="52" t="s">
        <v>214</v>
      </c>
      <c r="W61" s="20"/>
      <c r="X61" s="54">
        <v>20250903</v>
      </c>
      <c r="Y61" s="65" t="s">
        <v>294</v>
      </c>
      <c r="Z61" s="58">
        <v>999</v>
      </c>
      <c r="AA61" s="55" t="s">
        <v>215</v>
      </c>
      <c r="AB61">
        <v>3</v>
      </c>
      <c r="AF61" t="s">
        <v>308</v>
      </c>
      <c r="AH61" s="2" t="s">
        <v>216</v>
      </c>
      <c r="AI61" s="18" t="s">
        <v>64</v>
      </c>
    </row>
    <row r="62" spans="1:35" ht="15" x14ac:dyDescent="0.25">
      <c r="A62" s="14">
        <v>59</v>
      </c>
      <c r="B62" s="60">
        <v>61</v>
      </c>
      <c r="C62" s="61" t="s">
        <v>210</v>
      </c>
      <c r="D62" s="62" t="s">
        <v>56</v>
      </c>
      <c r="E62" s="62" t="s">
        <v>57</v>
      </c>
      <c r="F62" s="16" t="s">
        <v>58</v>
      </c>
      <c r="G62" s="50" t="s">
        <v>58</v>
      </c>
      <c r="H62" s="18" t="s">
        <v>60</v>
      </c>
      <c r="I62" s="18">
        <v>1</v>
      </c>
      <c r="J62" s="18" t="s">
        <v>362</v>
      </c>
      <c r="L62">
        <v>450</v>
      </c>
      <c r="N62" t="s">
        <v>317</v>
      </c>
      <c r="O62" t="s">
        <v>315</v>
      </c>
      <c r="P62" s="18" t="s">
        <v>211</v>
      </c>
      <c r="Q62" s="61" t="s">
        <v>212</v>
      </c>
      <c r="R62" s="67" t="s">
        <v>57</v>
      </c>
      <c r="S62" s="61" t="s">
        <v>63</v>
      </c>
      <c r="T62" s="18" t="s">
        <v>213</v>
      </c>
      <c r="U62" s="2"/>
      <c r="V62" s="52" t="s">
        <v>214</v>
      </c>
      <c r="W62" s="20"/>
      <c r="X62" s="54">
        <v>20250903</v>
      </c>
      <c r="Y62" s="65" t="s">
        <v>294</v>
      </c>
      <c r="Z62" s="58">
        <v>999</v>
      </c>
      <c r="AA62" s="55" t="s">
        <v>215</v>
      </c>
      <c r="AB62">
        <v>1</v>
      </c>
      <c r="AF62" t="s">
        <v>308</v>
      </c>
      <c r="AH62" s="2" t="s">
        <v>216</v>
      </c>
      <c r="AI62" s="18" t="s">
        <v>64</v>
      </c>
    </row>
    <row r="63" spans="1:35" ht="15" x14ac:dyDescent="0.25">
      <c r="A63" s="14">
        <v>60</v>
      </c>
      <c r="B63" s="60">
        <v>62</v>
      </c>
      <c r="C63" s="61" t="s">
        <v>210</v>
      </c>
      <c r="D63" s="62" t="s">
        <v>56</v>
      </c>
      <c r="E63" s="62" t="s">
        <v>57</v>
      </c>
      <c r="F63" s="16" t="s">
        <v>58</v>
      </c>
      <c r="G63" s="50" t="s">
        <v>58</v>
      </c>
      <c r="H63" s="18" t="s">
        <v>60</v>
      </c>
      <c r="I63" s="18">
        <v>1</v>
      </c>
      <c r="J63" s="18" t="s">
        <v>363</v>
      </c>
      <c r="L63">
        <v>450</v>
      </c>
      <c r="N63" t="s">
        <v>320</v>
      </c>
      <c r="O63" t="s">
        <v>280</v>
      </c>
      <c r="P63" s="18" t="s">
        <v>211</v>
      </c>
      <c r="Q63" s="61" t="s">
        <v>212</v>
      </c>
      <c r="R63" s="67" t="s">
        <v>57</v>
      </c>
      <c r="S63" s="61" t="s">
        <v>63</v>
      </c>
      <c r="T63" s="18" t="s">
        <v>213</v>
      </c>
      <c r="U63" s="2"/>
      <c r="V63" s="52" t="s">
        <v>214</v>
      </c>
      <c r="W63" s="20"/>
      <c r="X63" s="54">
        <v>20250903</v>
      </c>
      <c r="Y63" s="65" t="s">
        <v>294</v>
      </c>
      <c r="Z63" s="58">
        <v>999</v>
      </c>
      <c r="AA63" s="55" t="s">
        <v>215</v>
      </c>
      <c r="AB63">
        <v>1</v>
      </c>
      <c r="AF63" t="s">
        <v>308</v>
      </c>
      <c r="AH63" s="2" t="s">
        <v>216</v>
      </c>
      <c r="AI63" s="18" t="s">
        <v>64</v>
      </c>
    </row>
    <row r="64" spans="1:35" ht="15" x14ac:dyDescent="0.25">
      <c r="A64" s="14">
        <v>61</v>
      </c>
      <c r="B64" s="60">
        <v>63</v>
      </c>
      <c r="C64" s="61" t="s">
        <v>210</v>
      </c>
      <c r="D64" s="62" t="s">
        <v>56</v>
      </c>
      <c r="E64" s="62" t="s">
        <v>57</v>
      </c>
      <c r="F64" s="16" t="s">
        <v>58</v>
      </c>
      <c r="G64" s="50" t="s">
        <v>58</v>
      </c>
      <c r="H64" s="18" t="s">
        <v>60</v>
      </c>
      <c r="I64" s="18">
        <v>1</v>
      </c>
      <c r="J64" s="18" t="s">
        <v>364</v>
      </c>
      <c r="L64">
        <v>450</v>
      </c>
      <c r="N64" t="s">
        <v>320</v>
      </c>
      <c r="O64" t="s">
        <v>313</v>
      </c>
      <c r="P64" s="18" t="s">
        <v>211</v>
      </c>
      <c r="Q64" s="61" t="s">
        <v>212</v>
      </c>
      <c r="R64" s="67" t="s">
        <v>57</v>
      </c>
      <c r="S64" s="61" t="s">
        <v>63</v>
      </c>
      <c r="T64" s="18" t="s">
        <v>213</v>
      </c>
      <c r="V64" s="52" t="s">
        <v>214</v>
      </c>
      <c r="W64" s="20"/>
      <c r="X64" s="54">
        <v>20250903</v>
      </c>
      <c r="Y64" s="65" t="s">
        <v>294</v>
      </c>
      <c r="Z64" s="58">
        <v>999</v>
      </c>
      <c r="AA64" s="55" t="s">
        <v>215</v>
      </c>
      <c r="AB64">
        <v>3</v>
      </c>
      <c r="AF64" t="s">
        <v>308</v>
      </c>
      <c r="AH64" s="2" t="s">
        <v>216</v>
      </c>
      <c r="AI64" s="18" t="s">
        <v>64</v>
      </c>
    </row>
    <row r="65" spans="1:35" ht="15" x14ac:dyDescent="0.25">
      <c r="A65" s="14">
        <v>62</v>
      </c>
      <c r="B65" s="60">
        <v>64</v>
      </c>
      <c r="C65" s="61" t="s">
        <v>210</v>
      </c>
      <c r="D65" s="62" t="s">
        <v>56</v>
      </c>
      <c r="E65" s="62" t="s">
        <v>57</v>
      </c>
      <c r="F65" s="16" t="s">
        <v>58</v>
      </c>
      <c r="G65" s="50" t="s">
        <v>58</v>
      </c>
      <c r="H65" s="18" t="s">
        <v>60</v>
      </c>
      <c r="I65" s="18">
        <v>1</v>
      </c>
      <c r="J65" s="18" t="s">
        <v>365</v>
      </c>
      <c r="L65">
        <v>450</v>
      </c>
      <c r="N65" t="s">
        <v>320</v>
      </c>
      <c r="O65" t="s">
        <v>282</v>
      </c>
      <c r="P65" s="18" t="s">
        <v>211</v>
      </c>
      <c r="Q65" s="61" t="s">
        <v>212</v>
      </c>
      <c r="R65" s="67" t="s">
        <v>57</v>
      </c>
      <c r="S65" s="61" t="s">
        <v>63</v>
      </c>
      <c r="T65" s="18" t="s">
        <v>213</v>
      </c>
      <c r="U65" s="2"/>
      <c r="V65" s="52" t="s">
        <v>214</v>
      </c>
      <c r="W65" s="20"/>
      <c r="X65" s="54">
        <v>20250903</v>
      </c>
      <c r="Y65" s="65" t="s">
        <v>294</v>
      </c>
      <c r="Z65" s="58">
        <v>999</v>
      </c>
      <c r="AA65" s="55" t="s">
        <v>215</v>
      </c>
      <c r="AB65">
        <v>1</v>
      </c>
      <c r="AF65" t="s">
        <v>308</v>
      </c>
      <c r="AH65" s="2" t="s">
        <v>216</v>
      </c>
      <c r="AI65" s="18" t="s">
        <v>64</v>
      </c>
    </row>
    <row r="66" spans="1:35" ht="15" x14ac:dyDescent="0.25">
      <c r="A66" s="14">
        <v>63</v>
      </c>
      <c r="B66" s="60">
        <v>65</v>
      </c>
      <c r="C66" s="61" t="s">
        <v>210</v>
      </c>
      <c r="D66" s="62" t="s">
        <v>56</v>
      </c>
      <c r="E66" s="62" t="s">
        <v>57</v>
      </c>
      <c r="F66" s="16" t="s">
        <v>58</v>
      </c>
      <c r="G66" s="50" t="s">
        <v>58</v>
      </c>
      <c r="H66" s="18" t="s">
        <v>60</v>
      </c>
      <c r="I66" s="18">
        <v>1</v>
      </c>
      <c r="J66" s="18" t="s">
        <v>366</v>
      </c>
      <c r="L66">
        <v>450</v>
      </c>
      <c r="N66" t="s">
        <v>320</v>
      </c>
      <c r="O66" t="s">
        <v>283</v>
      </c>
      <c r="P66" s="18" t="s">
        <v>211</v>
      </c>
      <c r="Q66" s="61" t="s">
        <v>212</v>
      </c>
      <c r="R66" s="67" t="s">
        <v>57</v>
      </c>
      <c r="S66" s="61" t="s">
        <v>63</v>
      </c>
      <c r="T66" s="18" t="s">
        <v>213</v>
      </c>
      <c r="U66" s="2"/>
      <c r="V66" s="52" t="s">
        <v>214</v>
      </c>
      <c r="W66" s="20"/>
      <c r="X66" s="54">
        <v>20250903</v>
      </c>
      <c r="Y66" s="65" t="s">
        <v>294</v>
      </c>
      <c r="Z66" s="58">
        <v>999</v>
      </c>
      <c r="AA66" s="55" t="s">
        <v>215</v>
      </c>
      <c r="AB66">
        <v>3</v>
      </c>
      <c r="AF66" t="s">
        <v>308</v>
      </c>
      <c r="AH66" s="2" t="s">
        <v>216</v>
      </c>
      <c r="AI66" s="18" t="s">
        <v>64</v>
      </c>
    </row>
    <row r="67" spans="1:35" ht="15" x14ac:dyDescent="0.25">
      <c r="A67" s="14">
        <v>64</v>
      </c>
      <c r="B67" s="60">
        <v>66</v>
      </c>
      <c r="C67" s="61" t="s">
        <v>210</v>
      </c>
      <c r="D67" s="62" t="s">
        <v>56</v>
      </c>
      <c r="E67" s="62" t="s">
        <v>57</v>
      </c>
      <c r="F67" s="16" t="s">
        <v>58</v>
      </c>
      <c r="G67" s="50" t="s">
        <v>58</v>
      </c>
      <c r="H67" s="18" t="s">
        <v>60</v>
      </c>
      <c r="I67" s="18">
        <v>1</v>
      </c>
      <c r="J67" s="18" t="s">
        <v>367</v>
      </c>
      <c r="L67">
        <v>450</v>
      </c>
      <c r="N67" t="s">
        <v>320</v>
      </c>
      <c r="O67" t="s">
        <v>316</v>
      </c>
      <c r="P67" s="18" t="s">
        <v>211</v>
      </c>
      <c r="Q67" s="61" t="s">
        <v>212</v>
      </c>
      <c r="R67" s="67" t="s">
        <v>57</v>
      </c>
      <c r="S67" s="61" t="s">
        <v>63</v>
      </c>
      <c r="T67" s="18" t="s">
        <v>213</v>
      </c>
      <c r="V67" s="52" t="s">
        <v>214</v>
      </c>
      <c r="W67" s="20"/>
      <c r="X67" s="54">
        <v>20250903</v>
      </c>
      <c r="Y67" s="65" t="s">
        <v>294</v>
      </c>
      <c r="Z67" s="58">
        <v>999</v>
      </c>
      <c r="AA67" s="55" t="s">
        <v>215</v>
      </c>
      <c r="AB67">
        <v>3</v>
      </c>
      <c r="AF67" t="s">
        <v>308</v>
      </c>
      <c r="AH67" s="2" t="s">
        <v>216</v>
      </c>
      <c r="AI67" s="18" t="s">
        <v>64</v>
      </c>
    </row>
    <row r="68" spans="1:35" ht="15" x14ac:dyDescent="0.25">
      <c r="A68" s="14">
        <v>65</v>
      </c>
      <c r="B68" s="60">
        <v>67</v>
      </c>
      <c r="C68" s="61" t="s">
        <v>210</v>
      </c>
      <c r="D68" s="62" t="s">
        <v>56</v>
      </c>
      <c r="E68" s="62" t="s">
        <v>57</v>
      </c>
      <c r="F68" s="16" t="s">
        <v>58</v>
      </c>
      <c r="G68" s="50" t="s">
        <v>58</v>
      </c>
      <c r="H68" s="18" t="s">
        <v>60</v>
      </c>
      <c r="I68" s="18">
        <v>1</v>
      </c>
      <c r="J68" s="18" t="s">
        <v>368</v>
      </c>
      <c r="L68">
        <v>450</v>
      </c>
      <c r="N68" t="s">
        <v>320</v>
      </c>
      <c r="O68" t="s">
        <v>315</v>
      </c>
      <c r="P68" s="18" t="s">
        <v>211</v>
      </c>
      <c r="Q68" s="61" t="s">
        <v>212</v>
      </c>
      <c r="R68" s="67" t="s">
        <v>57</v>
      </c>
      <c r="S68" s="61" t="s">
        <v>63</v>
      </c>
      <c r="T68" s="18" t="s">
        <v>213</v>
      </c>
      <c r="U68" s="2"/>
      <c r="V68" s="52" t="s">
        <v>214</v>
      </c>
      <c r="W68" s="20"/>
      <c r="X68" s="54">
        <v>20250903</v>
      </c>
      <c r="Y68" s="65" t="s">
        <v>294</v>
      </c>
      <c r="Z68" s="58">
        <v>999</v>
      </c>
      <c r="AA68" s="55" t="s">
        <v>215</v>
      </c>
      <c r="AB68">
        <v>1</v>
      </c>
      <c r="AF68" t="s">
        <v>308</v>
      </c>
      <c r="AH68" s="2" t="s">
        <v>216</v>
      </c>
      <c r="AI68" s="18" t="s">
        <v>64</v>
      </c>
    </row>
    <row r="69" spans="1:35" ht="15" x14ac:dyDescent="0.25">
      <c r="A69" s="14">
        <v>66</v>
      </c>
      <c r="B69" s="60">
        <v>68</v>
      </c>
      <c r="C69" s="61" t="s">
        <v>210</v>
      </c>
      <c r="D69" s="62" t="s">
        <v>56</v>
      </c>
      <c r="E69" s="62" t="s">
        <v>57</v>
      </c>
      <c r="F69" s="16" t="s">
        <v>58</v>
      </c>
      <c r="G69" s="50" t="s">
        <v>58</v>
      </c>
      <c r="H69" s="18" t="s">
        <v>60</v>
      </c>
      <c r="I69" s="18">
        <v>1</v>
      </c>
      <c r="J69" s="18" t="s">
        <v>369</v>
      </c>
      <c r="L69">
        <v>452</v>
      </c>
      <c r="N69" t="s">
        <v>320</v>
      </c>
      <c r="O69" t="s">
        <v>280</v>
      </c>
      <c r="P69" s="18" t="s">
        <v>211</v>
      </c>
      <c r="Q69" s="61" t="s">
        <v>212</v>
      </c>
      <c r="R69" s="67" t="s">
        <v>57</v>
      </c>
      <c r="S69" s="61" t="s">
        <v>63</v>
      </c>
      <c r="T69" s="18" t="s">
        <v>213</v>
      </c>
      <c r="U69" s="2"/>
      <c r="V69" s="52" t="s">
        <v>214</v>
      </c>
      <c r="W69" s="20"/>
      <c r="X69" s="54">
        <v>20250903</v>
      </c>
      <c r="Y69" s="65" t="s">
        <v>294</v>
      </c>
      <c r="Z69" s="58">
        <v>999</v>
      </c>
      <c r="AA69" s="55" t="s">
        <v>215</v>
      </c>
      <c r="AB69">
        <v>4</v>
      </c>
      <c r="AF69" t="s">
        <v>308</v>
      </c>
      <c r="AH69" s="2" t="s">
        <v>216</v>
      </c>
      <c r="AI69" s="18" t="s">
        <v>64</v>
      </c>
    </row>
    <row r="70" spans="1:35" ht="15" x14ac:dyDescent="0.25">
      <c r="A70" s="14">
        <v>67</v>
      </c>
      <c r="B70" s="60">
        <v>69</v>
      </c>
      <c r="C70" s="61" t="s">
        <v>210</v>
      </c>
      <c r="D70" s="62" t="s">
        <v>56</v>
      </c>
      <c r="E70" s="62" t="s">
        <v>57</v>
      </c>
      <c r="F70" s="16" t="s">
        <v>58</v>
      </c>
      <c r="G70" s="50" t="s">
        <v>58</v>
      </c>
      <c r="H70" s="18" t="s">
        <v>60</v>
      </c>
      <c r="I70" s="18">
        <v>1</v>
      </c>
      <c r="J70" s="18" t="s">
        <v>370</v>
      </c>
      <c r="L70">
        <v>452</v>
      </c>
      <c r="N70" t="s">
        <v>320</v>
      </c>
      <c r="O70" t="s">
        <v>313</v>
      </c>
      <c r="P70" s="18" t="s">
        <v>211</v>
      </c>
      <c r="Q70" s="61" t="s">
        <v>212</v>
      </c>
      <c r="R70" s="67" t="s">
        <v>57</v>
      </c>
      <c r="S70" s="61" t="s">
        <v>63</v>
      </c>
      <c r="T70" s="18" t="s">
        <v>213</v>
      </c>
      <c r="V70" s="52" t="s">
        <v>214</v>
      </c>
      <c r="W70" s="20"/>
      <c r="X70" s="54">
        <v>20250903</v>
      </c>
      <c r="Y70" s="65" t="s">
        <v>294</v>
      </c>
      <c r="Z70" s="58">
        <v>999</v>
      </c>
      <c r="AA70" s="55" t="s">
        <v>215</v>
      </c>
      <c r="AB70">
        <v>6</v>
      </c>
      <c r="AF70" t="s">
        <v>308</v>
      </c>
      <c r="AH70" s="2" t="s">
        <v>216</v>
      </c>
      <c r="AI70" s="18" t="s">
        <v>64</v>
      </c>
    </row>
    <row r="71" spans="1:35" ht="15" x14ac:dyDescent="0.25">
      <c r="A71" s="14">
        <v>68</v>
      </c>
      <c r="B71" s="60">
        <v>70</v>
      </c>
      <c r="C71" s="61" t="s">
        <v>210</v>
      </c>
      <c r="D71" s="62" t="s">
        <v>56</v>
      </c>
      <c r="E71" s="62" t="s">
        <v>57</v>
      </c>
      <c r="F71" s="16" t="s">
        <v>58</v>
      </c>
      <c r="G71" s="50" t="s">
        <v>58</v>
      </c>
      <c r="H71" s="18" t="s">
        <v>60</v>
      </c>
      <c r="I71" s="18">
        <v>1</v>
      </c>
      <c r="J71" s="18" t="s">
        <v>371</v>
      </c>
      <c r="L71">
        <v>452</v>
      </c>
      <c r="N71" t="s">
        <v>320</v>
      </c>
      <c r="O71" t="s">
        <v>282</v>
      </c>
      <c r="P71" s="18" t="s">
        <v>211</v>
      </c>
      <c r="Q71" s="61" t="s">
        <v>212</v>
      </c>
      <c r="R71" s="67" t="s">
        <v>57</v>
      </c>
      <c r="S71" s="61" t="s">
        <v>63</v>
      </c>
      <c r="T71" s="18" t="s">
        <v>213</v>
      </c>
      <c r="U71" s="2"/>
      <c r="V71" s="52" t="s">
        <v>214</v>
      </c>
      <c r="W71" s="20"/>
      <c r="X71" s="54">
        <v>20250903</v>
      </c>
      <c r="Y71" s="65" t="s">
        <v>294</v>
      </c>
      <c r="Z71" s="58">
        <v>999</v>
      </c>
      <c r="AA71" s="55" t="s">
        <v>215</v>
      </c>
      <c r="AB71">
        <v>4</v>
      </c>
      <c r="AF71" t="s">
        <v>308</v>
      </c>
      <c r="AH71" s="2" t="s">
        <v>216</v>
      </c>
      <c r="AI71" s="18" t="s">
        <v>64</v>
      </c>
    </row>
    <row r="72" spans="1:35" ht="15" x14ac:dyDescent="0.25">
      <c r="A72" s="14">
        <v>69</v>
      </c>
      <c r="B72" s="60">
        <v>71</v>
      </c>
      <c r="C72" s="61" t="s">
        <v>210</v>
      </c>
      <c r="D72" s="62" t="s">
        <v>56</v>
      </c>
      <c r="E72" s="62" t="s">
        <v>57</v>
      </c>
      <c r="F72" s="16" t="s">
        <v>58</v>
      </c>
      <c r="G72" s="50" t="s">
        <v>58</v>
      </c>
      <c r="H72" s="18" t="s">
        <v>60</v>
      </c>
      <c r="I72" s="18">
        <v>1</v>
      </c>
      <c r="J72" s="18" t="s">
        <v>372</v>
      </c>
      <c r="L72">
        <v>452</v>
      </c>
      <c r="N72" t="s">
        <v>320</v>
      </c>
      <c r="O72" t="s">
        <v>283</v>
      </c>
      <c r="P72" s="18" t="s">
        <v>211</v>
      </c>
      <c r="Q72" s="61" t="s">
        <v>212</v>
      </c>
      <c r="R72" s="67" t="s">
        <v>57</v>
      </c>
      <c r="S72" s="61" t="s">
        <v>63</v>
      </c>
      <c r="T72" s="18" t="s">
        <v>213</v>
      </c>
      <c r="U72" s="2"/>
      <c r="V72" s="52" t="s">
        <v>214</v>
      </c>
      <c r="W72" s="20"/>
      <c r="X72" s="54">
        <v>20250903</v>
      </c>
      <c r="Y72" s="65" t="s">
        <v>294</v>
      </c>
      <c r="Z72" s="58">
        <v>999</v>
      </c>
      <c r="AA72" s="55" t="s">
        <v>215</v>
      </c>
      <c r="AB72">
        <v>6</v>
      </c>
      <c r="AF72" t="s">
        <v>308</v>
      </c>
      <c r="AH72" s="2" t="s">
        <v>216</v>
      </c>
      <c r="AI72" s="18" t="s">
        <v>64</v>
      </c>
    </row>
    <row r="73" spans="1:35" ht="15" x14ac:dyDescent="0.25">
      <c r="A73" s="14">
        <v>70</v>
      </c>
      <c r="B73" s="60">
        <v>72</v>
      </c>
      <c r="C73" s="61" t="s">
        <v>210</v>
      </c>
      <c r="D73" s="62" t="s">
        <v>56</v>
      </c>
      <c r="E73" s="62" t="s">
        <v>57</v>
      </c>
      <c r="F73" s="16" t="s">
        <v>58</v>
      </c>
      <c r="G73" s="50" t="s">
        <v>58</v>
      </c>
      <c r="H73" s="18" t="s">
        <v>60</v>
      </c>
      <c r="I73" s="18">
        <v>1</v>
      </c>
      <c r="J73" s="18" t="s">
        <v>373</v>
      </c>
      <c r="L73">
        <v>452</v>
      </c>
      <c r="N73" t="s">
        <v>320</v>
      </c>
      <c r="O73" t="s">
        <v>285</v>
      </c>
      <c r="P73" s="18" t="s">
        <v>211</v>
      </c>
      <c r="Q73" s="61" t="s">
        <v>212</v>
      </c>
      <c r="R73" s="67" t="s">
        <v>57</v>
      </c>
      <c r="S73" s="61" t="s">
        <v>63</v>
      </c>
      <c r="T73" s="18" t="s">
        <v>213</v>
      </c>
      <c r="V73" s="52" t="s">
        <v>214</v>
      </c>
      <c r="W73" s="20"/>
      <c r="X73" s="54">
        <v>20250903</v>
      </c>
      <c r="Y73" s="65" t="s">
        <v>294</v>
      </c>
      <c r="Z73" s="58">
        <v>999</v>
      </c>
      <c r="AA73" s="55" t="s">
        <v>215</v>
      </c>
      <c r="AB73">
        <v>4</v>
      </c>
      <c r="AF73" t="s">
        <v>308</v>
      </c>
      <c r="AH73" s="2" t="s">
        <v>216</v>
      </c>
      <c r="AI73" s="18" t="s">
        <v>64</v>
      </c>
    </row>
    <row r="74" spans="1:35" ht="15" x14ac:dyDescent="0.25">
      <c r="A74" s="14">
        <v>71</v>
      </c>
      <c r="B74" s="60">
        <v>73</v>
      </c>
      <c r="C74" s="61" t="s">
        <v>210</v>
      </c>
      <c r="D74" s="62" t="s">
        <v>56</v>
      </c>
      <c r="E74" s="62" t="s">
        <v>57</v>
      </c>
      <c r="F74" s="16" t="s">
        <v>58</v>
      </c>
      <c r="G74" s="50" t="s">
        <v>58</v>
      </c>
      <c r="H74" s="18" t="s">
        <v>60</v>
      </c>
      <c r="I74" s="18">
        <v>1</v>
      </c>
      <c r="J74" s="18" t="s">
        <v>374</v>
      </c>
      <c r="L74">
        <v>454</v>
      </c>
      <c r="N74" t="s">
        <v>317</v>
      </c>
      <c r="O74" t="s">
        <v>280</v>
      </c>
      <c r="P74" s="18" t="s">
        <v>211</v>
      </c>
      <c r="Q74" s="61" t="s">
        <v>212</v>
      </c>
      <c r="R74" s="67" t="s">
        <v>57</v>
      </c>
      <c r="S74" s="61" t="s">
        <v>63</v>
      </c>
      <c r="T74" s="18" t="s">
        <v>213</v>
      </c>
      <c r="U74" s="2"/>
      <c r="V74" s="52" t="s">
        <v>214</v>
      </c>
      <c r="W74" s="20"/>
      <c r="X74" s="54">
        <v>20250903</v>
      </c>
      <c r="Y74" s="65" t="s">
        <v>294</v>
      </c>
      <c r="Z74" s="58">
        <v>999</v>
      </c>
      <c r="AA74" s="55" t="s">
        <v>215</v>
      </c>
      <c r="AB74">
        <v>2</v>
      </c>
      <c r="AF74" t="s">
        <v>308</v>
      </c>
      <c r="AH74" s="2" t="s">
        <v>216</v>
      </c>
      <c r="AI74" s="18" t="s">
        <v>64</v>
      </c>
    </row>
    <row r="75" spans="1:35" ht="15" x14ac:dyDescent="0.25">
      <c r="A75" s="14">
        <v>72</v>
      </c>
      <c r="B75" s="60">
        <v>74</v>
      </c>
      <c r="C75" s="61" t="s">
        <v>210</v>
      </c>
      <c r="D75" s="62" t="s">
        <v>56</v>
      </c>
      <c r="E75" s="62" t="s">
        <v>57</v>
      </c>
      <c r="F75" s="16" t="s">
        <v>58</v>
      </c>
      <c r="G75" s="50" t="s">
        <v>58</v>
      </c>
      <c r="H75" s="18" t="s">
        <v>60</v>
      </c>
      <c r="I75" s="18">
        <v>1</v>
      </c>
      <c r="J75" s="18" t="s">
        <v>375</v>
      </c>
      <c r="L75">
        <v>454</v>
      </c>
      <c r="N75" t="s">
        <v>317</v>
      </c>
      <c r="O75" t="s">
        <v>313</v>
      </c>
      <c r="P75" s="18" t="s">
        <v>211</v>
      </c>
      <c r="Q75" s="61" t="s">
        <v>212</v>
      </c>
      <c r="R75" s="67" t="s">
        <v>57</v>
      </c>
      <c r="S75" s="61" t="s">
        <v>63</v>
      </c>
      <c r="T75" s="18" t="s">
        <v>213</v>
      </c>
      <c r="U75" s="2"/>
      <c r="V75" s="52" t="s">
        <v>214</v>
      </c>
      <c r="W75" s="20"/>
      <c r="X75" s="54">
        <v>20250903</v>
      </c>
      <c r="Y75" s="65" t="s">
        <v>294</v>
      </c>
      <c r="Z75" s="58">
        <v>999</v>
      </c>
      <c r="AA75" s="55" t="s">
        <v>215</v>
      </c>
      <c r="AB75">
        <v>3</v>
      </c>
      <c r="AF75" t="s">
        <v>308</v>
      </c>
      <c r="AH75" s="2" t="s">
        <v>216</v>
      </c>
      <c r="AI75" s="18" t="s">
        <v>64</v>
      </c>
    </row>
    <row r="76" spans="1:35" ht="15" x14ac:dyDescent="0.25">
      <c r="A76" s="14">
        <v>73</v>
      </c>
      <c r="B76" s="60">
        <v>75</v>
      </c>
      <c r="C76" s="61" t="s">
        <v>210</v>
      </c>
      <c r="D76" s="62" t="s">
        <v>56</v>
      </c>
      <c r="E76" s="62" t="s">
        <v>57</v>
      </c>
      <c r="F76" s="16" t="s">
        <v>58</v>
      </c>
      <c r="G76" s="50" t="s">
        <v>58</v>
      </c>
      <c r="H76" s="18" t="s">
        <v>60</v>
      </c>
      <c r="I76" s="18">
        <v>1</v>
      </c>
      <c r="J76" s="18" t="s">
        <v>376</v>
      </c>
      <c r="L76">
        <v>454</v>
      </c>
      <c r="N76" t="s">
        <v>317</v>
      </c>
      <c r="O76" t="s">
        <v>311</v>
      </c>
      <c r="P76" s="18" t="s">
        <v>211</v>
      </c>
      <c r="Q76" s="61" t="s">
        <v>212</v>
      </c>
      <c r="R76" s="67" t="s">
        <v>57</v>
      </c>
      <c r="S76" s="61" t="s">
        <v>63</v>
      </c>
      <c r="T76" s="18" t="s">
        <v>213</v>
      </c>
      <c r="V76" s="52" t="s">
        <v>214</v>
      </c>
      <c r="W76" s="20"/>
      <c r="X76" s="54">
        <v>20250903</v>
      </c>
      <c r="Y76" s="65" t="s">
        <v>294</v>
      </c>
      <c r="Z76" s="58">
        <v>999</v>
      </c>
      <c r="AA76" s="55" t="s">
        <v>215</v>
      </c>
      <c r="AB76">
        <v>1</v>
      </c>
      <c r="AF76" t="s">
        <v>308</v>
      </c>
      <c r="AH76" s="2" t="s">
        <v>216</v>
      </c>
      <c r="AI76" s="18" t="s">
        <v>64</v>
      </c>
    </row>
    <row r="77" spans="1:35" ht="15" x14ac:dyDescent="0.25">
      <c r="A77" s="14">
        <v>74</v>
      </c>
      <c r="B77" s="60">
        <v>76</v>
      </c>
      <c r="C77" s="61" t="s">
        <v>210</v>
      </c>
      <c r="D77" s="62" t="s">
        <v>56</v>
      </c>
      <c r="E77" s="62" t="s">
        <v>57</v>
      </c>
      <c r="F77" s="16" t="s">
        <v>58</v>
      </c>
      <c r="G77" s="50" t="s">
        <v>58</v>
      </c>
      <c r="H77" s="18" t="s">
        <v>60</v>
      </c>
      <c r="I77" s="18">
        <v>1</v>
      </c>
      <c r="J77" s="18" t="s">
        <v>377</v>
      </c>
      <c r="L77">
        <v>454</v>
      </c>
      <c r="N77" t="s">
        <v>317</v>
      </c>
      <c r="O77" t="s">
        <v>282</v>
      </c>
      <c r="P77" s="18" t="s">
        <v>211</v>
      </c>
      <c r="Q77" s="61" t="s">
        <v>212</v>
      </c>
      <c r="R77" s="67" t="s">
        <v>57</v>
      </c>
      <c r="S77" s="61" t="s">
        <v>63</v>
      </c>
      <c r="T77" s="18" t="s">
        <v>213</v>
      </c>
      <c r="U77" s="2"/>
      <c r="V77" s="52" t="s">
        <v>214</v>
      </c>
      <c r="W77" s="20"/>
      <c r="X77" s="54">
        <v>20250903</v>
      </c>
      <c r="Y77" s="65" t="s">
        <v>294</v>
      </c>
      <c r="Z77" s="58">
        <v>999</v>
      </c>
      <c r="AA77" s="55" t="s">
        <v>215</v>
      </c>
      <c r="AB77">
        <v>1</v>
      </c>
      <c r="AF77" t="s">
        <v>308</v>
      </c>
      <c r="AH77" s="2" t="s">
        <v>216</v>
      </c>
      <c r="AI77" s="18" t="s">
        <v>64</v>
      </c>
    </row>
    <row r="78" spans="1:35" ht="15" x14ac:dyDescent="0.25">
      <c r="A78" s="14">
        <v>75</v>
      </c>
      <c r="B78" s="60">
        <v>77</v>
      </c>
      <c r="C78" s="61" t="s">
        <v>210</v>
      </c>
      <c r="D78" s="62" t="s">
        <v>56</v>
      </c>
      <c r="E78" s="62" t="s">
        <v>57</v>
      </c>
      <c r="F78" s="16" t="s">
        <v>58</v>
      </c>
      <c r="G78" s="50" t="s">
        <v>58</v>
      </c>
      <c r="H78" s="18" t="s">
        <v>60</v>
      </c>
      <c r="I78" s="18">
        <v>1</v>
      </c>
      <c r="J78" s="18" t="s">
        <v>378</v>
      </c>
      <c r="L78">
        <v>454</v>
      </c>
      <c r="N78" t="s">
        <v>317</v>
      </c>
      <c r="O78" t="s">
        <v>283</v>
      </c>
      <c r="P78" s="18" t="s">
        <v>211</v>
      </c>
      <c r="Q78" s="61" t="s">
        <v>212</v>
      </c>
      <c r="R78" s="67" t="s">
        <v>57</v>
      </c>
      <c r="S78" s="61" t="s">
        <v>63</v>
      </c>
      <c r="T78" s="18" t="s">
        <v>213</v>
      </c>
      <c r="U78" s="2"/>
      <c r="V78" s="52" t="s">
        <v>214</v>
      </c>
      <c r="W78" s="20"/>
      <c r="X78" s="54">
        <v>20250903</v>
      </c>
      <c r="Y78" s="65" t="s">
        <v>294</v>
      </c>
      <c r="Z78" s="58">
        <v>999</v>
      </c>
      <c r="AA78" s="55" t="s">
        <v>215</v>
      </c>
      <c r="AB78">
        <v>3</v>
      </c>
      <c r="AF78" t="s">
        <v>308</v>
      </c>
      <c r="AH78" s="2" t="s">
        <v>216</v>
      </c>
      <c r="AI78" s="18" t="s">
        <v>64</v>
      </c>
    </row>
    <row r="79" spans="1:35" ht="15" x14ac:dyDescent="0.25">
      <c r="A79" s="14">
        <v>76</v>
      </c>
      <c r="B79" s="60">
        <v>78</v>
      </c>
      <c r="C79" s="61" t="s">
        <v>210</v>
      </c>
      <c r="D79" s="62" t="s">
        <v>56</v>
      </c>
      <c r="E79" s="62" t="s">
        <v>57</v>
      </c>
      <c r="F79" s="16" t="s">
        <v>58</v>
      </c>
      <c r="G79" s="50" t="s">
        <v>58</v>
      </c>
      <c r="H79" s="18" t="s">
        <v>60</v>
      </c>
      <c r="I79" s="18">
        <v>1</v>
      </c>
      <c r="J79" s="18" t="s">
        <v>379</v>
      </c>
      <c r="L79">
        <v>454</v>
      </c>
      <c r="N79" t="s">
        <v>317</v>
      </c>
      <c r="O79" t="s">
        <v>285</v>
      </c>
      <c r="P79" s="18" t="s">
        <v>211</v>
      </c>
      <c r="Q79" s="61" t="s">
        <v>212</v>
      </c>
      <c r="R79" s="67" t="s">
        <v>57</v>
      </c>
      <c r="S79" s="61" t="s">
        <v>63</v>
      </c>
      <c r="T79" s="18" t="s">
        <v>213</v>
      </c>
      <c r="V79" s="52" t="s">
        <v>214</v>
      </c>
      <c r="W79" s="20"/>
      <c r="X79" s="54">
        <v>20250903</v>
      </c>
      <c r="Y79" s="65" t="s">
        <v>294</v>
      </c>
      <c r="Z79" s="58">
        <v>999</v>
      </c>
      <c r="AA79" s="55" t="s">
        <v>215</v>
      </c>
      <c r="AB79">
        <v>2</v>
      </c>
      <c r="AF79" t="s">
        <v>308</v>
      </c>
      <c r="AH79" s="2" t="s">
        <v>216</v>
      </c>
      <c r="AI79" s="18" t="s">
        <v>64</v>
      </c>
    </row>
    <row r="80" spans="1:35" ht="15" x14ac:dyDescent="0.25">
      <c r="A80" s="14">
        <v>77</v>
      </c>
      <c r="B80" s="60">
        <v>79</v>
      </c>
      <c r="C80" s="61" t="s">
        <v>210</v>
      </c>
      <c r="D80" s="62" t="s">
        <v>56</v>
      </c>
      <c r="E80" s="62" t="s">
        <v>57</v>
      </c>
      <c r="F80" s="16" t="s">
        <v>58</v>
      </c>
      <c r="G80" s="50" t="s">
        <v>58</v>
      </c>
      <c r="H80" s="18" t="s">
        <v>60</v>
      </c>
      <c r="I80" s="18">
        <v>1</v>
      </c>
      <c r="J80" s="18" t="s">
        <v>380</v>
      </c>
      <c r="L80">
        <v>454</v>
      </c>
      <c r="N80" t="s">
        <v>320</v>
      </c>
      <c r="O80" t="s">
        <v>280</v>
      </c>
      <c r="P80" s="18" t="s">
        <v>211</v>
      </c>
      <c r="Q80" s="61" t="s">
        <v>212</v>
      </c>
      <c r="R80" s="67" t="s">
        <v>57</v>
      </c>
      <c r="S80" s="61" t="s">
        <v>63</v>
      </c>
      <c r="T80" s="18" t="s">
        <v>213</v>
      </c>
      <c r="U80" s="2"/>
      <c r="V80" s="52" t="s">
        <v>214</v>
      </c>
      <c r="W80" s="20"/>
      <c r="X80" s="54">
        <v>20250903</v>
      </c>
      <c r="Y80" s="65" t="s">
        <v>294</v>
      </c>
      <c r="Z80" s="58">
        <v>999</v>
      </c>
      <c r="AA80" s="55" t="s">
        <v>215</v>
      </c>
      <c r="AB80">
        <v>2</v>
      </c>
      <c r="AF80" t="s">
        <v>308</v>
      </c>
      <c r="AH80" s="2" t="s">
        <v>216</v>
      </c>
      <c r="AI80" s="18" t="s">
        <v>64</v>
      </c>
    </row>
    <row r="81" spans="1:35" ht="15" x14ac:dyDescent="0.25">
      <c r="A81" s="14">
        <v>78</v>
      </c>
      <c r="B81" s="60">
        <v>80</v>
      </c>
      <c r="C81" s="61" t="s">
        <v>210</v>
      </c>
      <c r="D81" s="62" t="s">
        <v>56</v>
      </c>
      <c r="E81" s="62" t="s">
        <v>57</v>
      </c>
      <c r="F81" s="16" t="s">
        <v>58</v>
      </c>
      <c r="G81" s="50" t="s">
        <v>58</v>
      </c>
      <c r="H81" s="18" t="s">
        <v>60</v>
      </c>
      <c r="I81" s="18">
        <v>1</v>
      </c>
      <c r="J81" s="18" t="s">
        <v>381</v>
      </c>
      <c r="L81">
        <v>454</v>
      </c>
      <c r="N81" t="s">
        <v>320</v>
      </c>
      <c r="O81" t="s">
        <v>313</v>
      </c>
      <c r="P81" s="18" t="s">
        <v>211</v>
      </c>
      <c r="Q81" s="61" t="s">
        <v>212</v>
      </c>
      <c r="R81" s="67" t="s">
        <v>57</v>
      </c>
      <c r="S81" s="61" t="s">
        <v>63</v>
      </c>
      <c r="T81" s="18" t="s">
        <v>213</v>
      </c>
      <c r="U81" s="2"/>
      <c r="V81" s="52" t="s">
        <v>214</v>
      </c>
      <c r="W81" s="20"/>
      <c r="X81" s="54">
        <v>20250903</v>
      </c>
      <c r="Y81" s="65" t="s">
        <v>294</v>
      </c>
      <c r="Z81" s="58">
        <v>999</v>
      </c>
      <c r="AA81" s="55" t="s">
        <v>215</v>
      </c>
      <c r="AB81">
        <v>3</v>
      </c>
      <c r="AF81" t="s">
        <v>308</v>
      </c>
      <c r="AH81" s="2" t="s">
        <v>216</v>
      </c>
      <c r="AI81" s="18" t="s">
        <v>64</v>
      </c>
    </row>
    <row r="82" spans="1:35" ht="15" x14ac:dyDescent="0.25">
      <c r="A82" s="14">
        <v>79</v>
      </c>
      <c r="B82" s="60">
        <v>81</v>
      </c>
      <c r="C82" s="61" t="s">
        <v>210</v>
      </c>
      <c r="D82" s="62" t="s">
        <v>56</v>
      </c>
      <c r="E82" s="62" t="s">
        <v>57</v>
      </c>
      <c r="F82" s="16" t="s">
        <v>58</v>
      </c>
      <c r="G82" s="50" t="s">
        <v>58</v>
      </c>
      <c r="H82" s="18" t="s">
        <v>60</v>
      </c>
      <c r="I82" s="18">
        <v>1</v>
      </c>
      <c r="J82" s="18" t="s">
        <v>382</v>
      </c>
      <c r="L82">
        <v>454</v>
      </c>
      <c r="N82" t="s">
        <v>320</v>
      </c>
      <c r="O82" t="s">
        <v>311</v>
      </c>
      <c r="P82" s="18" t="s">
        <v>211</v>
      </c>
      <c r="Q82" s="61" t="s">
        <v>212</v>
      </c>
      <c r="R82" s="67" t="s">
        <v>57</v>
      </c>
      <c r="S82" s="61" t="s">
        <v>63</v>
      </c>
      <c r="T82" s="18" t="s">
        <v>213</v>
      </c>
      <c r="V82" s="52" t="s">
        <v>214</v>
      </c>
      <c r="W82" s="20"/>
      <c r="X82" s="54">
        <v>20250903</v>
      </c>
      <c r="Y82" s="65" t="s">
        <v>294</v>
      </c>
      <c r="Z82" s="58">
        <v>999</v>
      </c>
      <c r="AA82" s="55" t="s">
        <v>215</v>
      </c>
      <c r="AB82">
        <v>1</v>
      </c>
      <c r="AF82" t="s">
        <v>308</v>
      </c>
      <c r="AH82" s="2" t="s">
        <v>216</v>
      </c>
      <c r="AI82" s="18" t="s">
        <v>64</v>
      </c>
    </row>
    <row r="83" spans="1:35" ht="15" x14ac:dyDescent="0.25">
      <c r="A83" s="14">
        <v>80</v>
      </c>
      <c r="B83" s="60">
        <v>82</v>
      </c>
      <c r="C83" s="61" t="s">
        <v>210</v>
      </c>
      <c r="D83" s="62" t="s">
        <v>56</v>
      </c>
      <c r="E83" s="62" t="s">
        <v>57</v>
      </c>
      <c r="F83" s="16" t="s">
        <v>58</v>
      </c>
      <c r="G83" s="50" t="s">
        <v>58</v>
      </c>
      <c r="H83" s="18" t="s">
        <v>60</v>
      </c>
      <c r="I83" s="18">
        <v>1</v>
      </c>
      <c r="J83" s="18" t="s">
        <v>383</v>
      </c>
      <c r="L83">
        <v>454</v>
      </c>
      <c r="N83" t="s">
        <v>320</v>
      </c>
      <c r="O83" t="s">
        <v>282</v>
      </c>
      <c r="P83" s="18" t="s">
        <v>211</v>
      </c>
      <c r="Q83" s="61" t="s">
        <v>212</v>
      </c>
      <c r="R83" s="67" t="s">
        <v>57</v>
      </c>
      <c r="S83" s="61" t="s">
        <v>63</v>
      </c>
      <c r="T83" s="18" t="s">
        <v>213</v>
      </c>
      <c r="U83" s="2"/>
      <c r="V83" s="52" t="s">
        <v>214</v>
      </c>
      <c r="W83" s="20"/>
      <c r="X83" s="54">
        <v>20250903</v>
      </c>
      <c r="Y83" s="65" t="s">
        <v>294</v>
      </c>
      <c r="Z83" s="58">
        <v>999</v>
      </c>
      <c r="AA83" s="55" t="s">
        <v>215</v>
      </c>
      <c r="AB83">
        <v>1</v>
      </c>
      <c r="AF83" t="s">
        <v>308</v>
      </c>
      <c r="AH83" s="2" t="s">
        <v>216</v>
      </c>
      <c r="AI83" s="18" t="s">
        <v>64</v>
      </c>
    </row>
    <row r="84" spans="1:35" ht="15" x14ac:dyDescent="0.25">
      <c r="A84" s="14">
        <v>81</v>
      </c>
      <c r="B84" s="60">
        <v>83</v>
      </c>
      <c r="C84" s="61" t="s">
        <v>210</v>
      </c>
      <c r="D84" s="62" t="s">
        <v>56</v>
      </c>
      <c r="E84" s="62" t="s">
        <v>57</v>
      </c>
      <c r="F84" s="16" t="s">
        <v>58</v>
      </c>
      <c r="G84" s="50" t="s">
        <v>58</v>
      </c>
      <c r="H84" s="18" t="s">
        <v>60</v>
      </c>
      <c r="I84" s="18">
        <v>1</v>
      </c>
      <c r="J84" s="18" t="s">
        <v>384</v>
      </c>
      <c r="L84">
        <v>454</v>
      </c>
      <c r="N84" t="s">
        <v>320</v>
      </c>
      <c r="O84" t="s">
        <v>283</v>
      </c>
      <c r="P84" s="18" t="s">
        <v>211</v>
      </c>
      <c r="Q84" s="61" t="s">
        <v>212</v>
      </c>
      <c r="R84" s="67" t="s">
        <v>57</v>
      </c>
      <c r="S84" s="61" t="s">
        <v>63</v>
      </c>
      <c r="T84" s="18" t="s">
        <v>213</v>
      </c>
      <c r="U84" s="2"/>
      <c r="V84" s="52" t="s">
        <v>214</v>
      </c>
      <c r="W84" s="20"/>
      <c r="X84" s="54">
        <v>20250903</v>
      </c>
      <c r="Y84" s="65" t="s">
        <v>294</v>
      </c>
      <c r="Z84" s="58">
        <v>999</v>
      </c>
      <c r="AA84" s="55" t="s">
        <v>215</v>
      </c>
      <c r="AB84">
        <v>3</v>
      </c>
      <c r="AF84" t="s">
        <v>308</v>
      </c>
      <c r="AH84" s="2" t="s">
        <v>216</v>
      </c>
      <c r="AI84" s="18" t="s">
        <v>64</v>
      </c>
    </row>
    <row r="85" spans="1:35" ht="15" x14ac:dyDescent="0.25">
      <c r="A85" s="14">
        <v>82</v>
      </c>
      <c r="B85" s="60">
        <v>84</v>
      </c>
      <c r="C85" s="61" t="s">
        <v>210</v>
      </c>
      <c r="D85" s="62" t="s">
        <v>56</v>
      </c>
      <c r="E85" s="62" t="s">
        <v>57</v>
      </c>
      <c r="F85" s="16" t="s">
        <v>58</v>
      </c>
      <c r="G85" s="50" t="s">
        <v>58</v>
      </c>
      <c r="H85" s="18" t="s">
        <v>60</v>
      </c>
      <c r="I85" s="18">
        <v>1</v>
      </c>
      <c r="J85" s="18" t="s">
        <v>385</v>
      </c>
      <c r="L85">
        <v>454</v>
      </c>
      <c r="N85" t="s">
        <v>320</v>
      </c>
      <c r="O85" t="s">
        <v>285</v>
      </c>
      <c r="P85" s="18" t="s">
        <v>211</v>
      </c>
      <c r="Q85" s="61" t="s">
        <v>212</v>
      </c>
      <c r="R85" s="67" t="s">
        <v>57</v>
      </c>
      <c r="S85" s="61" t="s">
        <v>63</v>
      </c>
      <c r="T85" s="18" t="s">
        <v>213</v>
      </c>
      <c r="V85" s="52" t="s">
        <v>214</v>
      </c>
      <c r="W85" s="20"/>
      <c r="X85" s="54">
        <v>20250903</v>
      </c>
      <c r="Y85" s="65" t="s">
        <v>294</v>
      </c>
      <c r="Z85" s="58">
        <v>999</v>
      </c>
      <c r="AA85" s="55" t="s">
        <v>215</v>
      </c>
      <c r="AB85">
        <v>2</v>
      </c>
      <c r="AF85" t="s">
        <v>308</v>
      </c>
      <c r="AH85" s="2" t="s">
        <v>216</v>
      </c>
      <c r="AI85" s="18" t="s">
        <v>64</v>
      </c>
    </row>
    <row r="86" spans="1:35" ht="15" x14ac:dyDescent="0.25">
      <c r="A86" s="14">
        <v>83</v>
      </c>
      <c r="B86" s="60">
        <v>85</v>
      </c>
      <c r="C86" s="61" t="s">
        <v>210</v>
      </c>
      <c r="D86" s="62" t="s">
        <v>56</v>
      </c>
      <c r="E86" s="62" t="s">
        <v>57</v>
      </c>
      <c r="F86" s="16" t="s">
        <v>58</v>
      </c>
      <c r="G86" s="50" t="s">
        <v>58</v>
      </c>
      <c r="H86" s="18" t="s">
        <v>60</v>
      </c>
      <c r="I86" s="18">
        <v>1</v>
      </c>
      <c r="J86" s="18" t="s">
        <v>386</v>
      </c>
      <c r="L86">
        <v>8052</v>
      </c>
      <c r="N86" t="s">
        <v>318</v>
      </c>
      <c r="O86" t="s">
        <v>280</v>
      </c>
      <c r="P86" s="18" t="s">
        <v>211</v>
      </c>
      <c r="Q86" s="61" t="s">
        <v>212</v>
      </c>
      <c r="R86" s="67" t="s">
        <v>57</v>
      </c>
      <c r="S86" s="61" t="s">
        <v>63</v>
      </c>
      <c r="T86" s="18" t="s">
        <v>213</v>
      </c>
      <c r="U86" s="2"/>
      <c r="V86" s="52" t="s">
        <v>214</v>
      </c>
      <c r="W86" s="20"/>
      <c r="X86" s="54">
        <v>20250903</v>
      </c>
      <c r="Y86" s="65" t="s">
        <v>294</v>
      </c>
      <c r="Z86" s="58">
        <v>999</v>
      </c>
      <c r="AA86" s="55" t="s">
        <v>215</v>
      </c>
      <c r="AB86">
        <v>6</v>
      </c>
      <c r="AF86" t="s">
        <v>308</v>
      </c>
      <c r="AH86" s="2" t="s">
        <v>216</v>
      </c>
      <c r="AI86" s="18" t="s">
        <v>64</v>
      </c>
    </row>
    <row r="87" spans="1:35" ht="15" x14ac:dyDescent="0.25">
      <c r="A87" s="14">
        <v>84</v>
      </c>
      <c r="B87" s="60">
        <v>86</v>
      </c>
      <c r="C87" s="61" t="s">
        <v>210</v>
      </c>
      <c r="D87" s="62" t="s">
        <v>56</v>
      </c>
      <c r="E87" s="62" t="s">
        <v>57</v>
      </c>
      <c r="F87" s="16" t="s">
        <v>58</v>
      </c>
      <c r="G87" s="50" t="s">
        <v>58</v>
      </c>
      <c r="H87" s="18" t="s">
        <v>60</v>
      </c>
      <c r="I87" s="18">
        <v>1</v>
      </c>
      <c r="J87" s="18" t="s">
        <v>387</v>
      </c>
      <c r="L87">
        <v>8052</v>
      </c>
      <c r="N87" t="s">
        <v>318</v>
      </c>
      <c r="O87" t="s">
        <v>313</v>
      </c>
      <c r="P87" s="18" t="s">
        <v>211</v>
      </c>
      <c r="Q87" s="61" t="s">
        <v>212</v>
      </c>
      <c r="R87" s="67" t="s">
        <v>57</v>
      </c>
      <c r="S87" s="61" t="s">
        <v>63</v>
      </c>
      <c r="T87" s="18" t="s">
        <v>213</v>
      </c>
      <c r="U87" s="2"/>
      <c r="V87" s="52" t="s">
        <v>214</v>
      </c>
      <c r="W87" s="20"/>
      <c r="X87" s="54">
        <v>20250903</v>
      </c>
      <c r="Y87" s="65" t="s">
        <v>294</v>
      </c>
      <c r="Z87" s="58">
        <v>999</v>
      </c>
      <c r="AA87" s="55" t="s">
        <v>215</v>
      </c>
      <c r="AB87">
        <v>9</v>
      </c>
      <c r="AF87" t="s">
        <v>308</v>
      </c>
      <c r="AH87" s="2" t="s">
        <v>216</v>
      </c>
      <c r="AI87" s="18" t="s">
        <v>64</v>
      </c>
    </row>
    <row r="88" spans="1:35" ht="15" x14ac:dyDescent="0.25">
      <c r="A88" s="14">
        <v>85</v>
      </c>
      <c r="B88" s="60">
        <v>87</v>
      </c>
      <c r="C88" s="61" t="s">
        <v>210</v>
      </c>
      <c r="D88" s="62" t="s">
        <v>56</v>
      </c>
      <c r="E88" s="62" t="s">
        <v>57</v>
      </c>
      <c r="F88" s="16" t="s">
        <v>58</v>
      </c>
      <c r="G88" s="50" t="s">
        <v>58</v>
      </c>
      <c r="H88" s="18" t="s">
        <v>60</v>
      </c>
      <c r="I88" s="18">
        <v>1</v>
      </c>
      <c r="J88" s="18" t="s">
        <v>388</v>
      </c>
      <c r="L88">
        <v>8052</v>
      </c>
      <c r="N88" t="s">
        <v>318</v>
      </c>
      <c r="O88" t="s">
        <v>282</v>
      </c>
      <c r="P88" s="18" t="s">
        <v>211</v>
      </c>
      <c r="Q88" s="61" t="s">
        <v>212</v>
      </c>
      <c r="R88" s="67" t="s">
        <v>57</v>
      </c>
      <c r="S88" s="61" t="s">
        <v>63</v>
      </c>
      <c r="T88" s="18" t="s">
        <v>213</v>
      </c>
      <c r="V88" s="52" t="s">
        <v>214</v>
      </c>
      <c r="W88" s="20"/>
      <c r="X88" s="54">
        <v>20250903</v>
      </c>
      <c r="Y88" s="65" t="s">
        <v>294</v>
      </c>
      <c r="Z88" s="58">
        <v>999</v>
      </c>
      <c r="AA88" s="55" t="s">
        <v>215</v>
      </c>
      <c r="AB88">
        <v>6</v>
      </c>
      <c r="AF88" t="s">
        <v>308</v>
      </c>
      <c r="AH88" s="2" t="s">
        <v>216</v>
      </c>
      <c r="AI88" s="18" t="s">
        <v>64</v>
      </c>
    </row>
    <row r="89" spans="1:35" ht="15" x14ac:dyDescent="0.25">
      <c r="A89" s="14">
        <v>86</v>
      </c>
      <c r="B89" s="60">
        <v>88</v>
      </c>
      <c r="C89" s="61" t="s">
        <v>210</v>
      </c>
      <c r="D89" s="62" t="s">
        <v>56</v>
      </c>
      <c r="E89" s="62" t="s">
        <v>57</v>
      </c>
      <c r="F89" s="16" t="s">
        <v>58</v>
      </c>
      <c r="G89" s="50" t="s">
        <v>58</v>
      </c>
      <c r="H89" s="18" t="s">
        <v>60</v>
      </c>
      <c r="I89" s="18">
        <v>1</v>
      </c>
      <c r="J89" s="18" t="s">
        <v>389</v>
      </c>
      <c r="L89">
        <v>8052</v>
      </c>
      <c r="N89" t="s">
        <v>318</v>
      </c>
      <c r="O89" t="s">
        <v>283</v>
      </c>
      <c r="P89" s="18" t="s">
        <v>211</v>
      </c>
      <c r="Q89" s="61" t="s">
        <v>212</v>
      </c>
      <c r="R89" s="67" t="s">
        <v>57</v>
      </c>
      <c r="S89" s="61" t="s">
        <v>63</v>
      </c>
      <c r="T89" s="18" t="s">
        <v>213</v>
      </c>
      <c r="U89" s="2"/>
      <c r="V89" s="52" t="s">
        <v>214</v>
      </c>
      <c r="W89" s="20"/>
      <c r="X89" s="54">
        <v>20250903</v>
      </c>
      <c r="Y89" s="65" t="s">
        <v>294</v>
      </c>
      <c r="Z89" s="58">
        <v>999</v>
      </c>
      <c r="AA89" s="55" t="s">
        <v>215</v>
      </c>
      <c r="AB89">
        <v>9</v>
      </c>
      <c r="AF89" t="s">
        <v>308</v>
      </c>
      <c r="AH89" s="2" t="s">
        <v>216</v>
      </c>
      <c r="AI89" s="18" t="s">
        <v>64</v>
      </c>
    </row>
    <row r="90" spans="1:35" ht="15" x14ac:dyDescent="0.25">
      <c r="A90" s="14">
        <v>87</v>
      </c>
      <c r="B90" s="60">
        <v>89</v>
      </c>
      <c r="C90" s="61" t="s">
        <v>210</v>
      </c>
      <c r="D90" s="62" t="s">
        <v>56</v>
      </c>
      <c r="E90" s="62" t="s">
        <v>57</v>
      </c>
      <c r="F90" s="16" t="s">
        <v>58</v>
      </c>
      <c r="G90" s="50" t="s">
        <v>58</v>
      </c>
      <c r="H90" s="18" t="s">
        <v>60</v>
      </c>
      <c r="I90" s="18">
        <v>1</v>
      </c>
      <c r="J90" s="18" t="s">
        <v>390</v>
      </c>
      <c r="L90">
        <v>8052</v>
      </c>
      <c r="N90" t="s">
        <v>318</v>
      </c>
      <c r="O90" t="s">
        <v>285</v>
      </c>
      <c r="P90" s="18" t="s">
        <v>211</v>
      </c>
      <c r="Q90" s="61" t="s">
        <v>212</v>
      </c>
      <c r="R90" s="67" t="s">
        <v>57</v>
      </c>
      <c r="S90" s="61" t="s">
        <v>63</v>
      </c>
      <c r="T90" s="18" t="s">
        <v>213</v>
      </c>
      <c r="U90" s="2"/>
      <c r="V90" s="52" t="s">
        <v>214</v>
      </c>
      <c r="W90" s="20"/>
      <c r="X90" s="54">
        <v>20250903</v>
      </c>
      <c r="Y90" s="65" t="s">
        <v>294</v>
      </c>
      <c r="Z90" s="58">
        <v>999</v>
      </c>
      <c r="AA90" s="55" t="s">
        <v>215</v>
      </c>
      <c r="AB90">
        <v>6</v>
      </c>
      <c r="AF90" t="s">
        <v>308</v>
      </c>
      <c r="AH90" s="2" t="s">
        <v>216</v>
      </c>
      <c r="AI90" s="18" t="s">
        <v>64</v>
      </c>
    </row>
    <row r="91" spans="1:35" ht="15" x14ac:dyDescent="0.25">
      <c r="A91" s="14">
        <v>88</v>
      </c>
      <c r="B91" s="60">
        <v>90</v>
      </c>
      <c r="C91" s="61" t="s">
        <v>210</v>
      </c>
      <c r="D91" s="62" t="s">
        <v>56</v>
      </c>
      <c r="E91" s="62" t="s">
        <v>57</v>
      </c>
      <c r="F91" s="16" t="s">
        <v>58</v>
      </c>
      <c r="G91" s="50" t="s">
        <v>58</v>
      </c>
      <c r="H91" s="18" t="s">
        <v>60</v>
      </c>
      <c r="I91" s="18">
        <v>1</v>
      </c>
      <c r="J91" s="18" t="s">
        <v>391</v>
      </c>
      <c r="L91" t="s">
        <v>309</v>
      </c>
      <c r="N91" t="s">
        <v>317</v>
      </c>
      <c r="O91" t="s">
        <v>280</v>
      </c>
      <c r="P91" s="18" t="s">
        <v>211</v>
      </c>
      <c r="Q91" s="61" t="s">
        <v>212</v>
      </c>
      <c r="R91" s="67" t="s">
        <v>57</v>
      </c>
      <c r="S91" s="61" t="s">
        <v>63</v>
      </c>
      <c r="T91" s="18" t="s">
        <v>213</v>
      </c>
      <c r="V91" s="52" t="s">
        <v>214</v>
      </c>
      <c r="W91" s="20"/>
      <c r="X91" s="54">
        <v>20250903</v>
      </c>
      <c r="Y91" s="65" t="s">
        <v>294</v>
      </c>
      <c r="Z91" s="58">
        <v>999</v>
      </c>
      <c r="AA91" s="55" t="s">
        <v>215</v>
      </c>
      <c r="AB91">
        <v>8</v>
      </c>
      <c r="AF91" t="s">
        <v>308</v>
      </c>
      <c r="AH91" s="2" t="s">
        <v>216</v>
      </c>
      <c r="AI91" s="18" t="s">
        <v>64</v>
      </c>
    </row>
    <row r="92" spans="1:35" ht="15" x14ac:dyDescent="0.25">
      <c r="A92" s="14">
        <v>89</v>
      </c>
      <c r="B92" s="60">
        <v>91</v>
      </c>
      <c r="C92" s="61" t="s">
        <v>210</v>
      </c>
      <c r="D92" s="62" t="s">
        <v>56</v>
      </c>
      <c r="E92" s="62" t="s">
        <v>57</v>
      </c>
      <c r="F92" s="16" t="s">
        <v>58</v>
      </c>
      <c r="G92" s="50" t="s">
        <v>58</v>
      </c>
      <c r="H92" s="18" t="s">
        <v>60</v>
      </c>
      <c r="I92" s="18">
        <v>1</v>
      </c>
      <c r="J92" s="18" t="s">
        <v>392</v>
      </c>
      <c r="L92" t="s">
        <v>309</v>
      </c>
      <c r="N92" t="s">
        <v>317</v>
      </c>
      <c r="O92" t="s">
        <v>313</v>
      </c>
      <c r="P92" s="18" t="s">
        <v>211</v>
      </c>
      <c r="Q92" s="61" t="s">
        <v>212</v>
      </c>
      <c r="R92" s="67" t="s">
        <v>57</v>
      </c>
      <c r="S92" s="61" t="s">
        <v>63</v>
      </c>
      <c r="T92" s="18" t="s">
        <v>213</v>
      </c>
      <c r="U92" s="2"/>
      <c r="V92" s="52" t="s">
        <v>214</v>
      </c>
      <c r="W92" s="20"/>
      <c r="X92" s="54">
        <v>20250903</v>
      </c>
      <c r="Y92" s="65" t="s">
        <v>294</v>
      </c>
      <c r="Z92" s="58">
        <v>999</v>
      </c>
      <c r="AA92" s="55" t="s">
        <v>215</v>
      </c>
      <c r="AB92">
        <v>8</v>
      </c>
      <c r="AF92" t="s">
        <v>308</v>
      </c>
      <c r="AH92" s="2" t="s">
        <v>216</v>
      </c>
      <c r="AI92" s="18" t="s">
        <v>64</v>
      </c>
    </row>
    <row r="93" spans="1:35" ht="15" x14ac:dyDescent="0.25">
      <c r="A93" s="14">
        <v>90</v>
      </c>
      <c r="B93" s="60">
        <v>92</v>
      </c>
      <c r="C93" s="61" t="s">
        <v>210</v>
      </c>
      <c r="D93" s="62" t="s">
        <v>56</v>
      </c>
      <c r="E93" s="62" t="s">
        <v>57</v>
      </c>
      <c r="F93" s="16" t="s">
        <v>58</v>
      </c>
      <c r="G93" s="50" t="s">
        <v>58</v>
      </c>
      <c r="H93" s="18" t="s">
        <v>60</v>
      </c>
      <c r="I93" s="18">
        <v>1</v>
      </c>
      <c r="J93" s="18" t="s">
        <v>393</v>
      </c>
      <c r="L93" t="s">
        <v>309</v>
      </c>
      <c r="N93" t="s">
        <v>317</v>
      </c>
      <c r="O93" t="s">
        <v>283</v>
      </c>
      <c r="P93" s="18" t="s">
        <v>211</v>
      </c>
      <c r="Q93" s="61" t="s">
        <v>212</v>
      </c>
      <c r="R93" s="67" t="s">
        <v>57</v>
      </c>
      <c r="S93" s="61" t="s">
        <v>63</v>
      </c>
      <c r="T93" s="18" t="s">
        <v>213</v>
      </c>
      <c r="U93" s="2"/>
      <c r="V93" s="52" t="s">
        <v>214</v>
      </c>
      <c r="W93" s="20"/>
      <c r="X93" s="54">
        <v>20250903</v>
      </c>
      <c r="Y93" s="65" t="s">
        <v>294</v>
      </c>
      <c r="Z93" s="58">
        <v>999</v>
      </c>
      <c r="AA93" s="55" t="s">
        <v>215</v>
      </c>
      <c r="AB93">
        <v>8</v>
      </c>
      <c r="AF93" t="s">
        <v>308</v>
      </c>
      <c r="AH93" s="2" t="s">
        <v>216</v>
      </c>
      <c r="AI93" s="18" t="s">
        <v>64</v>
      </c>
    </row>
    <row r="94" spans="1:35" ht="15" x14ac:dyDescent="0.25">
      <c r="A94" s="14">
        <v>91</v>
      </c>
      <c r="B94" s="60">
        <v>93</v>
      </c>
      <c r="C94" s="61" t="s">
        <v>210</v>
      </c>
      <c r="D94" s="62" t="s">
        <v>56</v>
      </c>
      <c r="E94" s="62" t="s">
        <v>57</v>
      </c>
      <c r="F94" s="16" t="s">
        <v>58</v>
      </c>
      <c r="G94" s="50" t="s">
        <v>58</v>
      </c>
      <c r="H94" s="18" t="s">
        <v>60</v>
      </c>
      <c r="I94" s="18">
        <v>1</v>
      </c>
      <c r="J94" s="18" t="s">
        <v>394</v>
      </c>
      <c r="L94" t="s">
        <v>309</v>
      </c>
      <c r="N94" t="s">
        <v>317</v>
      </c>
      <c r="O94" t="s">
        <v>316</v>
      </c>
      <c r="P94" s="18" t="s">
        <v>211</v>
      </c>
      <c r="Q94" s="61" t="s">
        <v>212</v>
      </c>
      <c r="R94" s="67" t="s">
        <v>57</v>
      </c>
      <c r="S94" s="61" t="s">
        <v>63</v>
      </c>
      <c r="T94" s="18" t="s">
        <v>213</v>
      </c>
      <c r="V94" s="52" t="s">
        <v>214</v>
      </c>
      <c r="W94" s="20"/>
      <c r="X94" s="54">
        <v>20250903</v>
      </c>
      <c r="Y94" s="65" t="s">
        <v>294</v>
      </c>
      <c r="Z94" s="58">
        <v>999</v>
      </c>
      <c r="AA94" s="55" t="s">
        <v>215</v>
      </c>
      <c r="AB94">
        <v>8</v>
      </c>
      <c r="AF94" t="s">
        <v>308</v>
      </c>
      <c r="AH94" s="2" t="s">
        <v>216</v>
      </c>
      <c r="AI94" s="18" t="s">
        <v>64</v>
      </c>
    </row>
    <row r="95" spans="1:35" ht="15" x14ac:dyDescent="0.25">
      <c r="A95" s="14">
        <v>92</v>
      </c>
      <c r="B95" s="60">
        <v>94</v>
      </c>
      <c r="C95" s="61" t="s">
        <v>210</v>
      </c>
      <c r="D95" s="62" t="s">
        <v>56</v>
      </c>
      <c r="E95" s="62" t="s">
        <v>57</v>
      </c>
      <c r="F95" s="16" t="s">
        <v>58</v>
      </c>
      <c r="G95" s="50" t="s">
        <v>58</v>
      </c>
      <c r="H95" s="18" t="s">
        <v>60</v>
      </c>
      <c r="I95" s="18">
        <v>1</v>
      </c>
      <c r="J95" s="18" t="s">
        <v>395</v>
      </c>
      <c r="L95" t="s">
        <v>309</v>
      </c>
      <c r="N95" t="s">
        <v>317</v>
      </c>
      <c r="O95" t="s">
        <v>285</v>
      </c>
      <c r="P95" s="18" t="s">
        <v>211</v>
      </c>
      <c r="Q95" s="61" t="s">
        <v>212</v>
      </c>
      <c r="R95" s="67" t="s">
        <v>57</v>
      </c>
      <c r="S95" s="61" t="s">
        <v>63</v>
      </c>
      <c r="T95" s="18" t="s">
        <v>213</v>
      </c>
      <c r="U95" s="2"/>
      <c r="V95" s="52" t="s">
        <v>214</v>
      </c>
      <c r="W95" s="20"/>
      <c r="X95" s="54">
        <v>20250903</v>
      </c>
      <c r="Y95" s="65" t="s">
        <v>294</v>
      </c>
      <c r="Z95" s="58">
        <v>999</v>
      </c>
      <c r="AA95" s="55" t="s">
        <v>215</v>
      </c>
      <c r="AB95">
        <v>8</v>
      </c>
      <c r="AF95" t="s">
        <v>308</v>
      </c>
      <c r="AH95" s="2" t="s">
        <v>216</v>
      </c>
      <c r="AI95" s="18" t="s">
        <v>64</v>
      </c>
    </row>
    <row r="96" spans="1:35" ht="15" x14ac:dyDescent="0.25">
      <c r="A96" s="14">
        <v>93</v>
      </c>
      <c r="B96" s="60">
        <v>95</v>
      </c>
      <c r="C96" s="61" t="s">
        <v>210</v>
      </c>
      <c r="D96" s="62" t="s">
        <v>56</v>
      </c>
      <c r="E96" s="62" t="s">
        <v>57</v>
      </c>
      <c r="F96" s="16" t="s">
        <v>58</v>
      </c>
      <c r="G96" s="50" t="s">
        <v>58</v>
      </c>
      <c r="H96" s="18" t="s">
        <v>60</v>
      </c>
      <c r="I96" s="18">
        <v>1</v>
      </c>
      <c r="J96" s="18" t="s">
        <v>396</v>
      </c>
      <c r="L96" t="s">
        <v>309</v>
      </c>
      <c r="N96" t="s">
        <v>317</v>
      </c>
      <c r="O96" t="s">
        <v>315</v>
      </c>
      <c r="P96" s="18" t="s">
        <v>211</v>
      </c>
      <c r="Q96" s="61" t="s">
        <v>212</v>
      </c>
      <c r="R96" s="67" t="s">
        <v>57</v>
      </c>
      <c r="S96" s="61" t="s">
        <v>63</v>
      </c>
      <c r="T96" s="18" t="s">
        <v>213</v>
      </c>
      <c r="U96" s="2"/>
      <c r="V96" s="52" t="s">
        <v>214</v>
      </c>
      <c r="W96" s="20"/>
      <c r="X96" s="54">
        <v>20250903</v>
      </c>
      <c r="Y96" s="65" t="s">
        <v>294</v>
      </c>
      <c r="Z96" s="58">
        <v>999</v>
      </c>
      <c r="AA96" s="55" t="s">
        <v>215</v>
      </c>
      <c r="AB96">
        <v>8</v>
      </c>
      <c r="AF96" t="s">
        <v>308</v>
      </c>
      <c r="AH96" s="2" t="s">
        <v>216</v>
      </c>
      <c r="AI96" s="18" t="s">
        <v>64</v>
      </c>
    </row>
    <row r="97" spans="1:35" ht="15" x14ac:dyDescent="0.25">
      <c r="A97" s="14">
        <v>94</v>
      </c>
      <c r="B97" s="60">
        <v>96</v>
      </c>
      <c r="C97" s="61" t="s">
        <v>210</v>
      </c>
      <c r="D97" s="62" t="s">
        <v>56</v>
      </c>
      <c r="E97" s="62" t="s">
        <v>57</v>
      </c>
      <c r="F97" s="16" t="s">
        <v>58</v>
      </c>
      <c r="G97" s="50" t="s">
        <v>58</v>
      </c>
      <c r="H97" s="18" t="s">
        <v>60</v>
      </c>
      <c r="I97" s="18">
        <v>1</v>
      </c>
      <c r="J97" s="18" t="s">
        <v>397</v>
      </c>
      <c r="L97" t="s">
        <v>278</v>
      </c>
      <c r="N97" t="s">
        <v>321</v>
      </c>
      <c r="O97" t="s">
        <v>279</v>
      </c>
      <c r="P97" s="18" t="s">
        <v>211</v>
      </c>
      <c r="Q97" s="61" t="s">
        <v>212</v>
      </c>
      <c r="R97" s="67" t="s">
        <v>57</v>
      </c>
      <c r="S97" s="61" t="s">
        <v>63</v>
      </c>
      <c r="T97" s="18" t="s">
        <v>213</v>
      </c>
      <c r="V97" s="52" t="s">
        <v>214</v>
      </c>
      <c r="W97" s="20"/>
      <c r="X97" s="54">
        <v>20250903</v>
      </c>
      <c r="Y97" s="65" t="s">
        <v>294</v>
      </c>
      <c r="Z97" s="58">
        <v>999</v>
      </c>
      <c r="AA97" s="55" t="s">
        <v>215</v>
      </c>
      <c r="AB97">
        <v>1</v>
      </c>
      <c r="AF97" t="s">
        <v>308</v>
      </c>
      <c r="AH97" s="2" t="s">
        <v>216</v>
      </c>
      <c r="AI97" s="18" t="s">
        <v>64</v>
      </c>
    </row>
    <row r="98" spans="1:35" ht="15" x14ac:dyDescent="0.25">
      <c r="A98" s="14">
        <v>95</v>
      </c>
      <c r="B98" s="60">
        <v>97</v>
      </c>
      <c r="C98" s="61" t="s">
        <v>210</v>
      </c>
      <c r="D98" s="62" t="s">
        <v>56</v>
      </c>
      <c r="E98" s="62" t="s">
        <v>57</v>
      </c>
      <c r="F98" s="16" t="s">
        <v>58</v>
      </c>
      <c r="G98" s="50" t="s">
        <v>58</v>
      </c>
      <c r="H98" s="18" t="s">
        <v>60</v>
      </c>
      <c r="I98" s="18">
        <v>1</v>
      </c>
      <c r="J98" s="18" t="s">
        <v>398</v>
      </c>
      <c r="L98" t="s">
        <v>278</v>
      </c>
      <c r="N98" t="s">
        <v>321</v>
      </c>
      <c r="O98" t="s">
        <v>280</v>
      </c>
      <c r="P98" s="18" t="s">
        <v>211</v>
      </c>
      <c r="Q98" s="61" t="s">
        <v>212</v>
      </c>
      <c r="R98" s="67" t="s">
        <v>57</v>
      </c>
      <c r="S98" s="61" t="s">
        <v>63</v>
      </c>
      <c r="T98" s="18" t="s">
        <v>213</v>
      </c>
      <c r="U98" s="2"/>
      <c r="V98" s="52" t="s">
        <v>214</v>
      </c>
      <c r="W98" s="20"/>
      <c r="X98" s="54">
        <v>20250903</v>
      </c>
      <c r="Y98" s="65" t="s">
        <v>294</v>
      </c>
      <c r="Z98" s="58">
        <v>999</v>
      </c>
      <c r="AA98" s="55" t="s">
        <v>215</v>
      </c>
      <c r="AB98">
        <v>2</v>
      </c>
      <c r="AF98" t="s">
        <v>308</v>
      </c>
      <c r="AH98" s="2" t="s">
        <v>216</v>
      </c>
      <c r="AI98" s="18" t="s">
        <v>64</v>
      </c>
    </row>
    <row r="99" spans="1:35" ht="15" x14ac:dyDescent="0.25">
      <c r="A99" s="14">
        <v>96</v>
      </c>
      <c r="B99" s="60">
        <v>98</v>
      </c>
      <c r="C99" s="61" t="s">
        <v>210</v>
      </c>
      <c r="D99" s="62" t="s">
        <v>56</v>
      </c>
      <c r="E99" s="62" t="s">
        <v>57</v>
      </c>
      <c r="F99" s="16" t="s">
        <v>58</v>
      </c>
      <c r="G99" s="50" t="s">
        <v>58</v>
      </c>
      <c r="H99" s="18" t="s">
        <v>60</v>
      </c>
      <c r="I99" s="18">
        <v>1</v>
      </c>
      <c r="J99" s="18" t="s">
        <v>399</v>
      </c>
      <c r="L99" t="s">
        <v>278</v>
      </c>
      <c r="N99" t="s">
        <v>321</v>
      </c>
      <c r="O99" t="s">
        <v>281</v>
      </c>
      <c r="P99" s="18" t="s">
        <v>211</v>
      </c>
      <c r="Q99" s="61" t="s">
        <v>212</v>
      </c>
      <c r="R99" s="67" t="s">
        <v>57</v>
      </c>
      <c r="S99" s="61" t="s">
        <v>63</v>
      </c>
      <c r="T99" s="18" t="s">
        <v>213</v>
      </c>
      <c r="U99" s="2"/>
      <c r="V99" s="52" t="s">
        <v>214</v>
      </c>
      <c r="W99" s="20"/>
      <c r="X99" s="54">
        <v>20250903</v>
      </c>
      <c r="Y99" s="65" t="s">
        <v>294</v>
      </c>
      <c r="Z99" s="58">
        <v>999</v>
      </c>
      <c r="AA99" s="55" t="s">
        <v>215</v>
      </c>
      <c r="AB99">
        <v>1</v>
      </c>
      <c r="AF99" t="s">
        <v>308</v>
      </c>
      <c r="AH99" s="2" t="s">
        <v>216</v>
      </c>
      <c r="AI99" s="18" t="s">
        <v>64</v>
      </c>
    </row>
    <row r="100" spans="1:35" ht="15" x14ac:dyDescent="0.25">
      <c r="A100" s="14">
        <v>97</v>
      </c>
      <c r="B100" s="60">
        <v>99</v>
      </c>
      <c r="C100" s="61" t="s">
        <v>210</v>
      </c>
      <c r="D100" s="62" t="s">
        <v>56</v>
      </c>
      <c r="E100" s="62" t="s">
        <v>57</v>
      </c>
      <c r="F100" s="16" t="s">
        <v>58</v>
      </c>
      <c r="G100" s="50" t="s">
        <v>58</v>
      </c>
      <c r="H100" s="18" t="s">
        <v>60</v>
      </c>
      <c r="I100" s="18">
        <v>1</v>
      </c>
      <c r="J100" s="18" t="s">
        <v>400</v>
      </c>
      <c r="L100" t="s">
        <v>278</v>
      </c>
      <c r="N100" t="s">
        <v>321</v>
      </c>
      <c r="O100" t="s">
        <v>282</v>
      </c>
      <c r="P100" s="18" t="s">
        <v>211</v>
      </c>
      <c r="Q100" s="61" t="s">
        <v>212</v>
      </c>
      <c r="R100" s="67" t="s">
        <v>57</v>
      </c>
      <c r="S100" s="61" t="s">
        <v>63</v>
      </c>
      <c r="T100" s="18" t="s">
        <v>213</v>
      </c>
      <c r="V100" s="52" t="s">
        <v>214</v>
      </c>
      <c r="W100" s="20"/>
      <c r="X100" s="54">
        <v>20250903</v>
      </c>
      <c r="Y100" s="65" t="s">
        <v>294</v>
      </c>
      <c r="Z100" s="58">
        <v>999</v>
      </c>
      <c r="AA100" s="55" t="s">
        <v>215</v>
      </c>
      <c r="AB100">
        <v>2</v>
      </c>
      <c r="AF100" t="s">
        <v>308</v>
      </c>
      <c r="AH100" s="2" t="s">
        <v>216</v>
      </c>
      <c r="AI100" s="18" t="s">
        <v>64</v>
      </c>
    </row>
    <row r="101" spans="1:35" ht="15" x14ac:dyDescent="0.25">
      <c r="A101" s="14">
        <v>98</v>
      </c>
      <c r="B101" s="60">
        <v>100</v>
      </c>
      <c r="C101" s="61" t="s">
        <v>210</v>
      </c>
      <c r="D101" s="62" t="s">
        <v>56</v>
      </c>
      <c r="E101" s="62" t="s">
        <v>57</v>
      </c>
      <c r="F101" s="16" t="s">
        <v>58</v>
      </c>
      <c r="G101" s="50" t="s">
        <v>58</v>
      </c>
      <c r="H101" s="18" t="s">
        <v>60</v>
      </c>
      <c r="I101" s="18">
        <v>1</v>
      </c>
      <c r="J101" s="18" t="s">
        <v>401</v>
      </c>
      <c r="L101" t="s">
        <v>278</v>
      </c>
      <c r="N101" t="s">
        <v>321</v>
      </c>
      <c r="O101" t="s">
        <v>283</v>
      </c>
      <c r="P101" s="18" t="s">
        <v>211</v>
      </c>
      <c r="Q101" s="61" t="s">
        <v>212</v>
      </c>
      <c r="R101" s="67" t="s">
        <v>57</v>
      </c>
      <c r="S101" s="61" t="s">
        <v>63</v>
      </c>
      <c r="T101" s="18" t="s">
        <v>213</v>
      </c>
      <c r="U101" s="2"/>
      <c r="V101" s="52" t="s">
        <v>214</v>
      </c>
      <c r="W101" s="20"/>
      <c r="X101" s="54">
        <v>20250903</v>
      </c>
      <c r="Y101" s="65" t="s">
        <v>294</v>
      </c>
      <c r="Z101" s="58">
        <v>999</v>
      </c>
      <c r="AA101" s="55" t="s">
        <v>215</v>
      </c>
      <c r="AB101">
        <v>2</v>
      </c>
      <c r="AF101" t="s">
        <v>308</v>
      </c>
      <c r="AH101" s="2" t="s">
        <v>216</v>
      </c>
      <c r="AI101" s="18" t="s">
        <v>64</v>
      </c>
    </row>
    <row r="102" spans="1:35" ht="15" x14ac:dyDescent="0.25">
      <c r="A102" s="14">
        <v>99</v>
      </c>
      <c r="B102" s="60">
        <v>101</v>
      </c>
      <c r="C102" s="61" t="s">
        <v>210</v>
      </c>
      <c r="D102" s="62" t="s">
        <v>56</v>
      </c>
      <c r="E102" s="62" t="s">
        <v>57</v>
      </c>
      <c r="F102" s="16" t="s">
        <v>58</v>
      </c>
      <c r="G102" s="50" t="s">
        <v>58</v>
      </c>
      <c r="H102" s="18" t="s">
        <v>60</v>
      </c>
      <c r="I102" s="18">
        <v>1</v>
      </c>
      <c r="J102" s="18" t="s">
        <v>402</v>
      </c>
      <c r="L102" t="s">
        <v>278</v>
      </c>
      <c r="N102" t="s">
        <v>321</v>
      </c>
      <c r="O102" t="s">
        <v>284</v>
      </c>
      <c r="P102" s="18" t="s">
        <v>211</v>
      </c>
      <c r="Q102" s="61" t="s">
        <v>212</v>
      </c>
      <c r="R102" s="67" t="s">
        <v>57</v>
      </c>
      <c r="S102" s="61" t="s">
        <v>63</v>
      </c>
      <c r="T102" s="18" t="s">
        <v>213</v>
      </c>
      <c r="U102" s="2"/>
      <c r="V102" s="52" t="s">
        <v>214</v>
      </c>
      <c r="W102" s="20"/>
      <c r="X102" s="54">
        <v>20250903</v>
      </c>
      <c r="Y102" s="65" t="s">
        <v>294</v>
      </c>
      <c r="Z102" s="58">
        <v>999</v>
      </c>
      <c r="AA102" s="55" t="s">
        <v>215</v>
      </c>
      <c r="AB102">
        <v>1</v>
      </c>
      <c r="AF102" t="s">
        <v>308</v>
      </c>
      <c r="AH102" s="2" t="s">
        <v>216</v>
      </c>
      <c r="AI102" s="18" t="s">
        <v>64</v>
      </c>
    </row>
    <row r="103" spans="1:35" ht="15" x14ac:dyDescent="0.25">
      <c r="A103" s="14">
        <v>100</v>
      </c>
      <c r="B103" s="60">
        <v>102</v>
      </c>
      <c r="C103" s="61" t="s">
        <v>210</v>
      </c>
      <c r="D103" s="62" t="s">
        <v>56</v>
      </c>
      <c r="E103" s="62" t="s">
        <v>57</v>
      </c>
      <c r="F103" s="16" t="s">
        <v>58</v>
      </c>
      <c r="G103" s="50" t="s">
        <v>58</v>
      </c>
      <c r="H103" s="18" t="s">
        <v>60</v>
      </c>
      <c r="I103" s="18">
        <v>1</v>
      </c>
      <c r="J103" s="18" t="s">
        <v>403</v>
      </c>
      <c r="L103" t="s">
        <v>278</v>
      </c>
      <c r="N103" t="s">
        <v>321</v>
      </c>
      <c r="O103" t="s">
        <v>285</v>
      </c>
      <c r="P103" s="18" t="s">
        <v>211</v>
      </c>
      <c r="Q103" s="61" t="s">
        <v>212</v>
      </c>
      <c r="R103" s="67" t="s">
        <v>57</v>
      </c>
      <c r="S103" s="61" t="s">
        <v>63</v>
      </c>
      <c r="T103" s="18" t="s">
        <v>213</v>
      </c>
      <c r="V103" s="52" t="s">
        <v>214</v>
      </c>
      <c r="W103" s="20"/>
      <c r="X103" s="54">
        <v>20250903</v>
      </c>
      <c r="Y103" s="65" t="s">
        <v>294</v>
      </c>
      <c r="Z103" s="58">
        <v>999</v>
      </c>
      <c r="AA103" s="55" t="s">
        <v>215</v>
      </c>
      <c r="AB103">
        <v>1</v>
      </c>
      <c r="AF103" t="s">
        <v>308</v>
      </c>
      <c r="AH103" s="2" t="s">
        <v>216</v>
      </c>
      <c r="AI103" s="18" t="s">
        <v>64</v>
      </c>
    </row>
    <row r="104" spans="1:35" ht="15" x14ac:dyDescent="0.25">
      <c r="A104" s="14">
        <v>101</v>
      </c>
      <c r="B104" s="60">
        <v>103</v>
      </c>
      <c r="C104" s="61" t="s">
        <v>210</v>
      </c>
      <c r="D104" s="62" t="s">
        <v>56</v>
      </c>
      <c r="E104" s="62" t="s">
        <v>57</v>
      </c>
      <c r="F104" s="16" t="s">
        <v>58</v>
      </c>
      <c r="G104" s="50" t="s">
        <v>58</v>
      </c>
      <c r="H104" s="18" t="s">
        <v>60</v>
      </c>
      <c r="I104" s="18">
        <v>1</v>
      </c>
      <c r="J104" s="18" t="s">
        <v>404</v>
      </c>
      <c r="L104" t="s">
        <v>278</v>
      </c>
      <c r="N104" t="s">
        <v>321</v>
      </c>
      <c r="O104" t="s">
        <v>286</v>
      </c>
      <c r="P104" s="18" t="s">
        <v>211</v>
      </c>
      <c r="Q104" s="61" t="s">
        <v>212</v>
      </c>
      <c r="R104" s="67" t="s">
        <v>57</v>
      </c>
      <c r="S104" s="61" t="s">
        <v>63</v>
      </c>
      <c r="T104" s="18" t="s">
        <v>213</v>
      </c>
      <c r="U104" s="2"/>
      <c r="V104" s="52" t="s">
        <v>214</v>
      </c>
      <c r="W104" s="20"/>
      <c r="X104" s="54">
        <v>20250903</v>
      </c>
      <c r="Y104" s="65" t="s">
        <v>294</v>
      </c>
      <c r="Z104" s="58">
        <v>999</v>
      </c>
      <c r="AA104" s="55" t="s">
        <v>215</v>
      </c>
      <c r="AB104">
        <v>2</v>
      </c>
      <c r="AF104" t="s">
        <v>308</v>
      </c>
      <c r="AH104" s="2" t="s">
        <v>216</v>
      </c>
      <c r="AI104" s="18" t="s">
        <v>64</v>
      </c>
    </row>
    <row r="105" spans="1:35" ht="15" x14ac:dyDescent="0.25">
      <c r="A105" s="14">
        <v>102</v>
      </c>
      <c r="B105" s="60">
        <v>104</v>
      </c>
      <c r="C105" s="61" t="s">
        <v>210</v>
      </c>
      <c r="D105" s="62" t="s">
        <v>56</v>
      </c>
      <c r="E105" s="62" t="s">
        <v>57</v>
      </c>
      <c r="F105" s="16" t="s">
        <v>58</v>
      </c>
      <c r="G105" s="50" t="s">
        <v>58</v>
      </c>
      <c r="H105" s="18" t="s">
        <v>60</v>
      </c>
      <c r="I105" s="18">
        <v>1</v>
      </c>
      <c r="J105" s="18" t="s">
        <v>405</v>
      </c>
      <c r="L105" t="s">
        <v>310</v>
      </c>
      <c r="N105" t="s">
        <v>318</v>
      </c>
      <c r="O105" t="s">
        <v>288</v>
      </c>
      <c r="P105" s="18" t="s">
        <v>211</v>
      </c>
      <c r="Q105" s="61" t="s">
        <v>212</v>
      </c>
      <c r="R105" s="67" t="s">
        <v>57</v>
      </c>
      <c r="S105" s="61" t="s">
        <v>63</v>
      </c>
      <c r="T105" s="18" t="s">
        <v>213</v>
      </c>
      <c r="U105" s="2"/>
      <c r="V105" s="52" t="s">
        <v>214</v>
      </c>
      <c r="W105" s="20"/>
      <c r="X105" s="54">
        <v>20250903</v>
      </c>
      <c r="Y105" s="65" t="s">
        <v>294</v>
      </c>
      <c r="Z105" s="58">
        <v>999</v>
      </c>
      <c r="AA105" s="55" t="s">
        <v>215</v>
      </c>
      <c r="AB105">
        <v>6</v>
      </c>
      <c r="AF105" t="s">
        <v>308</v>
      </c>
      <c r="AH105" s="2" t="s">
        <v>216</v>
      </c>
      <c r="AI105" s="18" t="s">
        <v>64</v>
      </c>
    </row>
    <row r="106" spans="1:35" ht="15" x14ac:dyDescent="0.25">
      <c r="A106" s="14">
        <v>103</v>
      </c>
      <c r="B106" s="60">
        <v>105</v>
      </c>
      <c r="C106" s="61" t="s">
        <v>210</v>
      </c>
      <c r="D106" s="62" t="s">
        <v>56</v>
      </c>
      <c r="E106" s="62" t="s">
        <v>57</v>
      </c>
      <c r="F106" s="16" t="s">
        <v>58</v>
      </c>
      <c r="G106" s="50" t="s">
        <v>58</v>
      </c>
      <c r="H106" s="18" t="s">
        <v>60</v>
      </c>
      <c r="I106" s="18">
        <v>1</v>
      </c>
      <c r="J106" s="18" t="s">
        <v>406</v>
      </c>
      <c r="L106" t="s">
        <v>310</v>
      </c>
      <c r="N106" t="s">
        <v>318</v>
      </c>
      <c r="O106" t="s">
        <v>292</v>
      </c>
      <c r="P106" s="18" t="s">
        <v>211</v>
      </c>
      <c r="Q106" s="61" t="s">
        <v>212</v>
      </c>
      <c r="R106" s="67" t="s">
        <v>57</v>
      </c>
      <c r="S106" s="61" t="s">
        <v>63</v>
      </c>
      <c r="T106" s="18" t="s">
        <v>213</v>
      </c>
      <c r="V106" s="52" t="s">
        <v>214</v>
      </c>
      <c r="W106" s="20"/>
      <c r="X106" s="54">
        <v>20250903</v>
      </c>
      <c r="Y106" s="65" t="s">
        <v>294</v>
      </c>
      <c r="Z106" s="58">
        <v>999</v>
      </c>
      <c r="AA106" s="55" t="s">
        <v>215</v>
      </c>
      <c r="AB106">
        <v>6</v>
      </c>
      <c r="AF106" t="s">
        <v>308</v>
      </c>
      <c r="AH106" s="2" t="s">
        <v>216</v>
      </c>
      <c r="AI106" s="18" t="s">
        <v>64</v>
      </c>
    </row>
    <row r="107" spans="1:35" ht="15" x14ac:dyDescent="0.25">
      <c r="A107" s="14">
        <v>104</v>
      </c>
      <c r="B107" s="60">
        <v>106</v>
      </c>
      <c r="C107" s="61" t="s">
        <v>210</v>
      </c>
      <c r="D107" s="62" t="s">
        <v>56</v>
      </c>
      <c r="E107" s="62" t="s">
        <v>57</v>
      </c>
      <c r="F107" s="16" t="s">
        <v>58</v>
      </c>
      <c r="G107" s="50" t="s">
        <v>58</v>
      </c>
      <c r="H107" s="18" t="s">
        <v>60</v>
      </c>
      <c r="I107" s="18">
        <v>1</v>
      </c>
      <c r="J107" s="18" t="s">
        <v>407</v>
      </c>
      <c r="L107" t="s">
        <v>310</v>
      </c>
      <c r="N107" t="s">
        <v>318</v>
      </c>
      <c r="O107" t="s">
        <v>289</v>
      </c>
      <c r="P107" s="18" t="s">
        <v>211</v>
      </c>
      <c r="Q107" s="61" t="s">
        <v>212</v>
      </c>
      <c r="R107" s="67" t="s">
        <v>57</v>
      </c>
      <c r="S107" s="61" t="s">
        <v>63</v>
      </c>
      <c r="T107" s="18" t="s">
        <v>213</v>
      </c>
      <c r="U107" s="2"/>
      <c r="V107" s="52" t="s">
        <v>214</v>
      </c>
      <c r="W107" s="20"/>
      <c r="X107" s="54">
        <v>20250903</v>
      </c>
      <c r="Y107" s="65" t="s">
        <v>294</v>
      </c>
      <c r="Z107" s="58">
        <v>999</v>
      </c>
      <c r="AA107" s="55" t="s">
        <v>215</v>
      </c>
      <c r="AB107">
        <v>6</v>
      </c>
      <c r="AF107" t="s">
        <v>308</v>
      </c>
      <c r="AH107" s="2" t="s">
        <v>216</v>
      </c>
      <c r="AI107" s="18" t="s">
        <v>64</v>
      </c>
    </row>
    <row r="108" spans="1:35" ht="15" x14ac:dyDescent="0.25">
      <c r="A108" s="14">
        <v>105</v>
      </c>
      <c r="B108" s="60">
        <v>107</v>
      </c>
      <c r="C108" s="61" t="s">
        <v>210</v>
      </c>
      <c r="D108" s="62" t="s">
        <v>56</v>
      </c>
      <c r="E108" s="62" t="s">
        <v>57</v>
      </c>
      <c r="F108" s="16" t="s">
        <v>58</v>
      </c>
      <c r="G108" s="50" t="s">
        <v>58</v>
      </c>
      <c r="H108" s="18" t="s">
        <v>60</v>
      </c>
      <c r="I108" s="18">
        <v>1</v>
      </c>
      <c r="J108" s="18" t="s">
        <v>408</v>
      </c>
      <c r="L108" t="s">
        <v>310</v>
      </c>
      <c r="N108" t="s">
        <v>318</v>
      </c>
      <c r="O108" t="s">
        <v>290</v>
      </c>
      <c r="P108" s="18" t="s">
        <v>211</v>
      </c>
      <c r="Q108" s="61" t="s">
        <v>212</v>
      </c>
      <c r="R108" s="67" t="s">
        <v>57</v>
      </c>
      <c r="S108" s="61" t="s">
        <v>63</v>
      </c>
      <c r="T108" s="18" t="s">
        <v>213</v>
      </c>
      <c r="U108" s="2"/>
      <c r="V108" s="52" t="s">
        <v>214</v>
      </c>
      <c r="W108" s="20"/>
      <c r="X108" s="54">
        <v>20250903</v>
      </c>
      <c r="Y108" s="65" t="s">
        <v>294</v>
      </c>
      <c r="Z108" s="58">
        <v>999</v>
      </c>
      <c r="AA108" s="55" t="s">
        <v>215</v>
      </c>
      <c r="AB108">
        <v>6</v>
      </c>
      <c r="AF108" t="s">
        <v>308</v>
      </c>
      <c r="AH108" s="2" t="s">
        <v>216</v>
      </c>
      <c r="AI108" s="18" t="s">
        <v>64</v>
      </c>
    </row>
    <row r="109" spans="1:35" ht="15" x14ac:dyDescent="0.25">
      <c r="A109" s="14">
        <v>106</v>
      </c>
      <c r="B109" s="60">
        <v>108</v>
      </c>
      <c r="C109" s="61" t="s">
        <v>210</v>
      </c>
      <c r="D109" s="62" t="s">
        <v>56</v>
      </c>
      <c r="E109" s="62" t="s">
        <v>57</v>
      </c>
      <c r="F109" s="16" t="s">
        <v>58</v>
      </c>
      <c r="G109" s="50" t="s">
        <v>58</v>
      </c>
      <c r="H109" s="18" t="s">
        <v>60</v>
      </c>
      <c r="I109" s="18">
        <v>1</v>
      </c>
      <c r="J109" s="18" t="s">
        <v>409</v>
      </c>
      <c r="L109" t="s">
        <v>310</v>
      </c>
      <c r="N109" t="s">
        <v>318</v>
      </c>
      <c r="O109" t="s">
        <v>293</v>
      </c>
      <c r="P109" s="18" t="s">
        <v>211</v>
      </c>
      <c r="Q109" s="61" t="s">
        <v>212</v>
      </c>
      <c r="R109" s="67" t="s">
        <v>57</v>
      </c>
      <c r="S109" s="61" t="s">
        <v>63</v>
      </c>
      <c r="T109" s="18" t="s">
        <v>213</v>
      </c>
      <c r="V109" s="52" t="s">
        <v>214</v>
      </c>
      <c r="W109" s="20"/>
      <c r="X109" s="54">
        <v>20250903</v>
      </c>
      <c r="Y109" s="65" t="s">
        <v>294</v>
      </c>
      <c r="Z109" s="58">
        <v>999</v>
      </c>
      <c r="AA109" s="55" t="s">
        <v>215</v>
      </c>
      <c r="AB109">
        <v>6</v>
      </c>
      <c r="AF109" t="s">
        <v>308</v>
      </c>
      <c r="AH109" s="2" t="s">
        <v>216</v>
      </c>
      <c r="AI109" s="18" t="s">
        <v>64</v>
      </c>
    </row>
    <row r="110" spans="1:35" ht="15" x14ac:dyDescent="0.25">
      <c r="A110" s="14">
        <v>107</v>
      </c>
      <c r="B110" s="60">
        <v>109</v>
      </c>
      <c r="C110" s="61" t="s">
        <v>210</v>
      </c>
      <c r="D110" s="62" t="s">
        <v>56</v>
      </c>
      <c r="E110" s="62" t="s">
        <v>57</v>
      </c>
      <c r="F110" s="16" t="s">
        <v>58</v>
      </c>
      <c r="G110" s="50" t="s">
        <v>58</v>
      </c>
      <c r="H110" s="18" t="s">
        <v>60</v>
      </c>
      <c r="I110" s="18">
        <v>1</v>
      </c>
      <c r="J110" s="18" t="s">
        <v>410</v>
      </c>
      <c r="L110" t="s">
        <v>310</v>
      </c>
      <c r="N110" t="s">
        <v>318</v>
      </c>
      <c r="O110" t="s">
        <v>291</v>
      </c>
      <c r="P110" s="18" t="s">
        <v>211</v>
      </c>
      <c r="Q110" s="61" t="s">
        <v>212</v>
      </c>
      <c r="R110" s="67" t="s">
        <v>57</v>
      </c>
      <c r="S110" s="61" t="s">
        <v>63</v>
      </c>
      <c r="T110" s="18" t="s">
        <v>213</v>
      </c>
      <c r="U110" s="2"/>
      <c r="V110" s="52" t="s">
        <v>214</v>
      </c>
      <c r="W110" s="20"/>
      <c r="X110" s="54">
        <v>20250903</v>
      </c>
      <c r="Y110" s="65" t="s">
        <v>294</v>
      </c>
      <c r="Z110" s="58">
        <v>999</v>
      </c>
      <c r="AA110" s="55" t="s">
        <v>215</v>
      </c>
      <c r="AB110">
        <v>6</v>
      </c>
      <c r="AF110" t="s">
        <v>308</v>
      </c>
      <c r="AH110" s="2" t="s">
        <v>216</v>
      </c>
      <c r="AI110" s="18" t="s">
        <v>64</v>
      </c>
    </row>
    <row r="111" spans="1:35" ht="15" x14ac:dyDescent="0.25">
      <c r="A111" s="14">
        <v>108</v>
      </c>
      <c r="B111" s="60">
        <v>110</v>
      </c>
      <c r="C111" s="61" t="s">
        <v>210</v>
      </c>
      <c r="D111" s="62" t="s">
        <v>56</v>
      </c>
      <c r="E111" s="62" t="s">
        <v>57</v>
      </c>
      <c r="F111" s="16" t="s">
        <v>58</v>
      </c>
      <c r="G111" s="50" t="s">
        <v>58</v>
      </c>
      <c r="H111" s="18" t="s">
        <v>60</v>
      </c>
      <c r="I111" s="18">
        <v>1</v>
      </c>
      <c r="J111" s="18" t="s">
        <v>411</v>
      </c>
      <c r="L111" t="s">
        <v>287</v>
      </c>
      <c r="N111" t="s">
        <v>317</v>
      </c>
      <c r="O111" t="s">
        <v>288</v>
      </c>
      <c r="P111" s="18" t="s">
        <v>211</v>
      </c>
      <c r="Q111" s="61" t="s">
        <v>212</v>
      </c>
      <c r="R111" s="67" t="s">
        <v>57</v>
      </c>
      <c r="S111" s="61" t="s">
        <v>63</v>
      </c>
      <c r="T111" s="18" t="s">
        <v>213</v>
      </c>
      <c r="U111" s="2"/>
      <c r="V111" s="52" t="s">
        <v>214</v>
      </c>
      <c r="W111" s="20"/>
      <c r="X111" s="54">
        <v>20250903</v>
      </c>
      <c r="Y111" s="65" t="s">
        <v>294</v>
      </c>
      <c r="Z111" s="58">
        <v>999</v>
      </c>
      <c r="AA111" s="55" t="s">
        <v>215</v>
      </c>
      <c r="AB111">
        <v>6</v>
      </c>
      <c r="AF111" t="s">
        <v>308</v>
      </c>
      <c r="AH111" s="2" t="s">
        <v>216</v>
      </c>
      <c r="AI111" s="18" t="s">
        <v>64</v>
      </c>
    </row>
    <row r="112" spans="1:35" ht="15" x14ac:dyDescent="0.25">
      <c r="A112" s="14">
        <v>109</v>
      </c>
      <c r="B112" s="60">
        <v>111</v>
      </c>
      <c r="C112" s="61" t="s">
        <v>210</v>
      </c>
      <c r="D112" s="62" t="s">
        <v>56</v>
      </c>
      <c r="E112" s="62" t="s">
        <v>57</v>
      </c>
      <c r="F112" s="16" t="s">
        <v>58</v>
      </c>
      <c r="G112" s="50" t="s">
        <v>58</v>
      </c>
      <c r="H112" s="18" t="s">
        <v>60</v>
      </c>
      <c r="I112" s="18">
        <v>1</v>
      </c>
      <c r="J112" s="18" t="s">
        <v>412</v>
      </c>
      <c r="L112" t="s">
        <v>287</v>
      </c>
      <c r="N112" t="s">
        <v>317</v>
      </c>
      <c r="O112" t="s">
        <v>292</v>
      </c>
      <c r="P112" s="18" t="s">
        <v>211</v>
      </c>
      <c r="Q112" s="61" t="s">
        <v>212</v>
      </c>
      <c r="R112" s="67" t="s">
        <v>57</v>
      </c>
      <c r="S112" s="61" t="s">
        <v>63</v>
      </c>
      <c r="T112" s="18" t="s">
        <v>213</v>
      </c>
      <c r="V112" s="52" t="s">
        <v>214</v>
      </c>
      <c r="W112" s="20"/>
      <c r="X112" s="54">
        <v>20250903</v>
      </c>
      <c r="Y112" s="65" t="s">
        <v>294</v>
      </c>
      <c r="Z112" s="58">
        <v>999</v>
      </c>
      <c r="AA112" s="55" t="s">
        <v>215</v>
      </c>
      <c r="AB112">
        <v>6</v>
      </c>
      <c r="AF112" t="s">
        <v>308</v>
      </c>
      <c r="AH112" s="2" t="s">
        <v>216</v>
      </c>
      <c r="AI112" s="18" t="s">
        <v>64</v>
      </c>
    </row>
    <row r="113" spans="1:35" ht="15" x14ac:dyDescent="0.25">
      <c r="A113" s="14">
        <v>110</v>
      </c>
      <c r="B113" s="60">
        <v>112</v>
      </c>
      <c r="C113" s="61" t="s">
        <v>210</v>
      </c>
      <c r="D113" s="62" t="s">
        <v>56</v>
      </c>
      <c r="E113" s="62" t="s">
        <v>57</v>
      </c>
      <c r="F113" s="16" t="s">
        <v>58</v>
      </c>
      <c r="G113" s="50" t="s">
        <v>58</v>
      </c>
      <c r="H113" s="18" t="s">
        <v>60</v>
      </c>
      <c r="I113" s="18">
        <v>1</v>
      </c>
      <c r="J113" s="18" t="s">
        <v>413</v>
      </c>
      <c r="L113" t="s">
        <v>287</v>
      </c>
      <c r="N113" t="s">
        <v>317</v>
      </c>
      <c r="O113" t="s">
        <v>289</v>
      </c>
      <c r="P113" s="18" t="s">
        <v>211</v>
      </c>
      <c r="Q113" s="61" t="s">
        <v>212</v>
      </c>
      <c r="R113" s="67" t="s">
        <v>57</v>
      </c>
      <c r="S113" s="61" t="s">
        <v>63</v>
      </c>
      <c r="T113" s="18" t="s">
        <v>213</v>
      </c>
      <c r="U113" s="2"/>
      <c r="V113" s="52" t="s">
        <v>214</v>
      </c>
      <c r="W113" s="20"/>
      <c r="X113" s="54">
        <v>20250903</v>
      </c>
      <c r="Y113" s="65" t="s">
        <v>294</v>
      </c>
      <c r="Z113" s="58">
        <v>999</v>
      </c>
      <c r="AA113" s="55" t="s">
        <v>215</v>
      </c>
      <c r="AB113">
        <v>6</v>
      </c>
      <c r="AF113" t="s">
        <v>308</v>
      </c>
      <c r="AH113" s="2" t="s">
        <v>216</v>
      </c>
      <c r="AI113" s="18" t="s">
        <v>64</v>
      </c>
    </row>
    <row r="114" spans="1:35" ht="15" x14ac:dyDescent="0.25">
      <c r="A114" s="14">
        <v>111</v>
      </c>
      <c r="B114" s="60">
        <v>113</v>
      </c>
      <c r="C114" s="61" t="s">
        <v>210</v>
      </c>
      <c r="D114" s="62" t="s">
        <v>56</v>
      </c>
      <c r="E114" s="62" t="s">
        <v>57</v>
      </c>
      <c r="F114" s="16" t="s">
        <v>58</v>
      </c>
      <c r="G114" s="50" t="s">
        <v>58</v>
      </c>
      <c r="H114" s="18" t="s">
        <v>60</v>
      </c>
      <c r="I114" s="18">
        <v>1</v>
      </c>
      <c r="J114" s="18" t="s">
        <v>414</v>
      </c>
      <c r="L114" t="s">
        <v>287</v>
      </c>
      <c r="N114" t="s">
        <v>317</v>
      </c>
      <c r="O114" t="s">
        <v>290</v>
      </c>
      <c r="P114" s="18" t="s">
        <v>211</v>
      </c>
      <c r="Q114" s="61" t="s">
        <v>212</v>
      </c>
      <c r="R114" s="67" t="s">
        <v>57</v>
      </c>
      <c r="S114" s="61" t="s">
        <v>63</v>
      </c>
      <c r="T114" s="18" t="s">
        <v>213</v>
      </c>
      <c r="U114" s="2"/>
      <c r="V114" s="52" t="s">
        <v>214</v>
      </c>
      <c r="W114" s="20"/>
      <c r="X114" s="54">
        <v>20250903</v>
      </c>
      <c r="Y114" s="65" t="s">
        <v>294</v>
      </c>
      <c r="Z114" s="58">
        <v>999</v>
      </c>
      <c r="AA114" s="55" t="s">
        <v>215</v>
      </c>
      <c r="AB114">
        <v>6</v>
      </c>
      <c r="AF114" t="s">
        <v>308</v>
      </c>
      <c r="AH114" s="2" t="s">
        <v>216</v>
      </c>
      <c r="AI114" s="18" t="s">
        <v>64</v>
      </c>
    </row>
    <row r="115" spans="1:35" ht="15" x14ac:dyDescent="0.25">
      <c r="A115" s="14">
        <v>112</v>
      </c>
      <c r="B115" s="60">
        <v>114</v>
      </c>
      <c r="C115" s="61" t="s">
        <v>210</v>
      </c>
      <c r="D115" s="62" t="s">
        <v>56</v>
      </c>
      <c r="E115" s="62" t="s">
        <v>57</v>
      </c>
      <c r="F115" s="16" t="s">
        <v>58</v>
      </c>
      <c r="G115" s="50" t="s">
        <v>58</v>
      </c>
      <c r="H115" s="18" t="s">
        <v>60</v>
      </c>
      <c r="I115" s="18">
        <v>1</v>
      </c>
      <c r="J115" s="18" t="s">
        <v>415</v>
      </c>
      <c r="L115" t="s">
        <v>287</v>
      </c>
      <c r="N115" t="s">
        <v>317</v>
      </c>
      <c r="O115" t="s">
        <v>293</v>
      </c>
      <c r="P115" s="18" t="s">
        <v>211</v>
      </c>
      <c r="Q115" s="61" t="s">
        <v>212</v>
      </c>
      <c r="R115" s="67" t="s">
        <v>57</v>
      </c>
      <c r="S115" s="61" t="s">
        <v>63</v>
      </c>
      <c r="T115" s="18" t="s">
        <v>213</v>
      </c>
      <c r="V115" s="52" t="s">
        <v>214</v>
      </c>
      <c r="W115" s="20"/>
      <c r="X115" s="54">
        <v>20250903</v>
      </c>
      <c r="Y115" s="65" t="s">
        <v>294</v>
      </c>
      <c r="Z115" s="58">
        <v>999</v>
      </c>
      <c r="AA115" s="55" t="s">
        <v>215</v>
      </c>
      <c r="AB115">
        <v>6</v>
      </c>
      <c r="AF115" t="s">
        <v>308</v>
      </c>
      <c r="AH115" s="2" t="s">
        <v>216</v>
      </c>
      <c r="AI115" s="18" t="s">
        <v>64</v>
      </c>
    </row>
    <row r="116" spans="1:35" ht="15" x14ac:dyDescent="0.25">
      <c r="A116" s="14">
        <v>113</v>
      </c>
      <c r="B116" s="60">
        <v>115</v>
      </c>
      <c r="C116" s="61" t="s">
        <v>210</v>
      </c>
      <c r="D116" s="62" t="s">
        <v>56</v>
      </c>
      <c r="E116" s="62" t="s">
        <v>57</v>
      </c>
      <c r="F116" s="16" t="s">
        <v>58</v>
      </c>
      <c r="G116" s="50" t="s">
        <v>58</v>
      </c>
      <c r="H116" s="18" t="s">
        <v>60</v>
      </c>
      <c r="I116" s="18">
        <v>1</v>
      </c>
      <c r="J116" s="18" t="s">
        <v>416</v>
      </c>
      <c r="L116" t="s">
        <v>287</v>
      </c>
      <c r="N116" t="s">
        <v>317</v>
      </c>
      <c r="O116" t="s">
        <v>291</v>
      </c>
      <c r="P116" s="18" t="s">
        <v>211</v>
      </c>
      <c r="Q116" s="61" t="s">
        <v>212</v>
      </c>
      <c r="R116" s="67" t="s">
        <v>57</v>
      </c>
      <c r="S116" s="61" t="s">
        <v>63</v>
      </c>
      <c r="T116" s="18" t="s">
        <v>213</v>
      </c>
      <c r="U116" s="2"/>
      <c r="V116" s="52" t="s">
        <v>214</v>
      </c>
      <c r="W116" s="20"/>
      <c r="X116" s="54">
        <v>20250903</v>
      </c>
      <c r="Y116" s="65" t="s">
        <v>294</v>
      </c>
      <c r="Z116" s="58">
        <v>999</v>
      </c>
      <c r="AA116" s="55" t="s">
        <v>215</v>
      </c>
      <c r="AB116">
        <v>6</v>
      </c>
      <c r="AF116" t="s">
        <v>308</v>
      </c>
      <c r="AH116" s="2" t="s">
        <v>216</v>
      </c>
      <c r="AI116" s="18" t="s">
        <v>64</v>
      </c>
    </row>
    <row r="117" spans="1:35" ht="15" x14ac:dyDescent="0.25">
      <c r="A117" s="14">
        <v>114</v>
      </c>
      <c r="B117" s="60">
        <v>116</v>
      </c>
      <c r="C117" s="61" t="s">
        <v>210</v>
      </c>
      <c r="D117" s="62" t="s">
        <v>56</v>
      </c>
      <c r="E117" s="62" t="s">
        <v>57</v>
      </c>
      <c r="F117" s="16" t="s">
        <v>58</v>
      </c>
      <c r="G117" s="50" t="s">
        <v>58</v>
      </c>
      <c r="H117" s="18" t="s">
        <v>60</v>
      </c>
      <c r="I117" s="18">
        <v>1</v>
      </c>
      <c r="J117" s="18" t="s">
        <v>417</v>
      </c>
      <c r="L117" t="s">
        <v>441</v>
      </c>
      <c r="N117">
        <v>6</v>
      </c>
      <c r="O117" t="s">
        <v>288</v>
      </c>
      <c r="P117" s="18" t="s">
        <v>211</v>
      </c>
      <c r="Q117" s="61" t="s">
        <v>212</v>
      </c>
      <c r="R117" s="67" t="s">
        <v>57</v>
      </c>
      <c r="S117" s="61" t="s">
        <v>63</v>
      </c>
      <c r="T117" s="18" t="s">
        <v>213</v>
      </c>
      <c r="U117" s="2"/>
      <c r="V117" s="52" t="s">
        <v>214</v>
      </c>
      <c r="W117" s="20"/>
      <c r="X117" s="54">
        <v>20250903</v>
      </c>
      <c r="Y117" s="65" t="s">
        <v>294</v>
      </c>
      <c r="Z117" s="58">
        <v>999</v>
      </c>
      <c r="AA117" s="55" t="s">
        <v>215</v>
      </c>
      <c r="AB117">
        <v>2</v>
      </c>
      <c r="AF117" t="s">
        <v>308</v>
      </c>
      <c r="AH117" s="2" t="s">
        <v>216</v>
      </c>
      <c r="AI117" s="18" t="s">
        <v>64</v>
      </c>
    </row>
    <row r="118" spans="1:35" ht="15" x14ac:dyDescent="0.25">
      <c r="A118" s="14">
        <v>115</v>
      </c>
      <c r="B118" s="60">
        <v>117</v>
      </c>
      <c r="C118" s="61" t="s">
        <v>210</v>
      </c>
      <c r="D118" s="62" t="s">
        <v>56</v>
      </c>
      <c r="E118" s="62" t="s">
        <v>57</v>
      </c>
      <c r="F118" s="16" t="s">
        <v>58</v>
      </c>
      <c r="G118" s="50" t="s">
        <v>58</v>
      </c>
      <c r="H118" s="18" t="s">
        <v>60</v>
      </c>
      <c r="I118" s="18">
        <v>1</v>
      </c>
      <c r="J118" s="18" t="s">
        <v>418</v>
      </c>
      <c r="L118" t="s">
        <v>441</v>
      </c>
      <c r="N118">
        <v>6</v>
      </c>
      <c r="O118" t="s">
        <v>292</v>
      </c>
      <c r="P118" s="18" t="s">
        <v>211</v>
      </c>
      <c r="Q118" s="61" t="s">
        <v>212</v>
      </c>
      <c r="R118" s="67" t="s">
        <v>57</v>
      </c>
      <c r="S118" s="61" t="s">
        <v>63</v>
      </c>
      <c r="T118" s="18" t="s">
        <v>213</v>
      </c>
      <c r="V118" s="52" t="s">
        <v>214</v>
      </c>
      <c r="W118" s="20"/>
      <c r="X118" s="54">
        <v>20250903</v>
      </c>
      <c r="Y118" s="65" t="s">
        <v>294</v>
      </c>
      <c r="Z118" s="58">
        <v>999</v>
      </c>
      <c r="AA118" s="55" t="s">
        <v>215</v>
      </c>
      <c r="AB118">
        <v>2</v>
      </c>
      <c r="AF118" t="s">
        <v>308</v>
      </c>
      <c r="AH118" s="2" t="s">
        <v>216</v>
      </c>
      <c r="AI118" s="18" t="s">
        <v>64</v>
      </c>
    </row>
    <row r="119" spans="1:35" ht="15" x14ac:dyDescent="0.25">
      <c r="A119" s="14">
        <v>116</v>
      </c>
      <c r="B119" s="60">
        <v>118</v>
      </c>
      <c r="C119" s="61" t="s">
        <v>210</v>
      </c>
      <c r="D119" s="62" t="s">
        <v>56</v>
      </c>
      <c r="E119" s="62" t="s">
        <v>57</v>
      </c>
      <c r="F119" s="16" t="s">
        <v>58</v>
      </c>
      <c r="G119" s="50" t="s">
        <v>58</v>
      </c>
      <c r="H119" s="18" t="s">
        <v>60</v>
      </c>
      <c r="I119" s="18">
        <v>1</v>
      </c>
      <c r="J119" s="18" t="s">
        <v>419</v>
      </c>
      <c r="L119" t="s">
        <v>441</v>
      </c>
      <c r="N119">
        <v>6</v>
      </c>
      <c r="O119" t="s">
        <v>289</v>
      </c>
      <c r="P119" s="18" t="s">
        <v>211</v>
      </c>
      <c r="Q119" s="61" t="s">
        <v>212</v>
      </c>
      <c r="R119" s="67" t="s">
        <v>57</v>
      </c>
      <c r="S119" s="61" t="s">
        <v>63</v>
      </c>
      <c r="T119" s="18" t="s">
        <v>213</v>
      </c>
      <c r="U119" s="2"/>
      <c r="V119" s="52" t="s">
        <v>214</v>
      </c>
      <c r="W119" s="20"/>
      <c r="X119" s="54">
        <v>20250903</v>
      </c>
      <c r="Y119" s="65" t="s">
        <v>294</v>
      </c>
      <c r="Z119" s="58">
        <v>999</v>
      </c>
      <c r="AA119" s="55" t="s">
        <v>215</v>
      </c>
      <c r="AB119">
        <v>2</v>
      </c>
      <c r="AF119" t="s">
        <v>308</v>
      </c>
      <c r="AH119" s="2" t="s">
        <v>216</v>
      </c>
      <c r="AI119" s="18" t="s">
        <v>64</v>
      </c>
    </row>
    <row r="120" spans="1:35" ht="15" x14ac:dyDescent="0.25">
      <c r="A120" s="14">
        <v>117</v>
      </c>
      <c r="B120" s="60">
        <v>119</v>
      </c>
      <c r="C120" s="61" t="s">
        <v>210</v>
      </c>
      <c r="D120" s="62" t="s">
        <v>56</v>
      </c>
      <c r="E120" s="62" t="s">
        <v>57</v>
      </c>
      <c r="F120" s="16" t="s">
        <v>58</v>
      </c>
      <c r="G120" s="50" t="s">
        <v>58</v>
      </c>
      <c r="H120" s="18" t="s">
        <v>60</v>
      </c>
      <c r="I120" s="18">
        <v>1</v>
      </c>
      <c r="J120" s="18" t="s">
        <v>420</v>
      </c>
      <c r="L120" t="s">
        <v>441</v>
      </c>
      <c r="N120">
        <v>6</v>
      </c>
      <c r="O120" t="s">
        <v>290</v>
      </c>
      <c r="P120" s="18" t="s">
        <v>211</v>
      </c>
      <c r="Q120" s="61" t="s">
        <v>212</v>
      </c>
      <c r="R120" s="67" t="s">
        <v>57</v>
      </c>
      <c r="S120" s="61" t="s">
        <v>63</v>
      </c>
      <c r="T120" s="18" t="s">
        <v>213</v>
      </c>
      <c r="U120" s="2"/>
      <c r="V120" s="52" t="s">
        <v>214</v>
      </c>
      <c r="W120" s="20"/>
      <c r="X120" s="54">
        <v>20250903</v>
      </c>
      <c r="Y120" s="65" t="s">
        <v>294</v>
      </c>
      <c r="Z120" s="58">
        <v>999</v>
      </c>
      <c r="AA120" s="55" t="s">
        <v>215</v>
      </c>
      <c r="AB120">
        <v>2</v>
      </c>
      <c r="AF120" t="s">
        <v>308</v>
      </c>
      <c r="AH120" s="2" t="s">
        <v>216</v>
      </c>
      <c r="AI120" s="18" t="s">
        <v>64</v>
      </c>
    </row>
    <row r="121" spans="1:35" ht="15" x14ac:dyDescent="0.25">
      <c r="A121" s="14">
        <v>118</v>
      </c>
      <c r="B121" s="60">
        <v>120</v>
      </c>
      <c r="C121" s="61" t="s">
        <v>210</v>
      </c>
      <c r="D121" s="62" t="s">
        <v>56</v>
      </c>
      <c r="E121" s="62" t="s">
        <v>57</v>
      </c>
      <c r="F121" s="16" t="s">
        <v>58</v>
      </c>
      <c r="G121" s="50" t="s">
        <v>58</v>
      </c>
      <c r="H121" s="18" t="s">
        <v>60</v>
      </c>
      <c r="I121" s="18">
        <v>1</v>
      </c>
      <c r="J121" s="18" t="s">
        <v>421</v>
      </c>
      <c r="L121" t="s">
        <v>441</v>
      </c>
      <c r="N121">
        <v>6</v>
      </c>
      <c r="O121" t="s">
        <v>293</v>
      </c>
      <c r="P121" s="18" t="s">
        <v>211</v>
      </c>
      <c r="Q121" s="61" t="s">
        <v>212</v>
      </c>
      <c r="R121" s="67" t="s">
        <v>57</v>
      </c>
      <c r="S121" s="61" t="s">
        <v>63</v>
      </c>
      <c r="T121" s="18" t="s">
        <v>213</v>
      </c>
      <c r="V121" s="52" t="s">
        <v>214</v>
      </c>
      <c r="W121" s="20"/>
      <c r="X121" s="54">
        <v>20250903</v>
      </c>
      <c r="Y121" s="65" t="s">
        <v>294</v>
      </c>
      <c r="Z121" s="58">
        <v>999</v>
      </c>
      <c r="AA121" s="55" t="s">
        <v>215</v>
      </c>
      <c r="AB121">
        <v>2</v>
      </c>
      <c r="AF121" t="s">
        <v>308</v>
      </c>
      <c r="AH121" s="2" t="s">
        <v>216</v>
      </c>
      <c r="AI121" s="18" t="s">
        <v>64</v>
      </c>
    </row>
    <row r="122" spans="1:35" ht="15" x14ac:dyDescent="0.25">
      <c r="A122" s="14">
        <v>119</v>
      </c>
      <c r="B122" s="60">
        <v>121</v>
      </c>
      <c r="C122" s="61" t="s">
        <v>210</v>
      </c>
      <c r="D122" s="62" t="s">
        <v>56</v>
      </c>
      <c r="E122" s="62" t="s">
        <v>57</v>
      </c>
      <c r="F122" s="16" t="s">
        <v>58</v>
      </c>
      <c r="G122" s="50" t="s">
        <v>58</v>
      </c>
      <c r="H122" s="18" t="s">
        <v>60</v>
      </c>
      <c r="I122" s="18">
        <v>1</v>
      </c>
      <c r="J122" s="18" t="s">
        <v>422</v>
      </c>
      <c r="L122" t="s">
        <v>441</v>
      </c>
      <c r="N122">
        <v>6</v>
      </c>
      <c r="O122" t="s">
        <v>291</v>
      </c>
      <c r="P122" s="18" t="s">
        <v>211</v>
      </c>
      <c r="Q122" s="61" t="s">
        <v>212</v>
      </c>
      <c r="R122" s="67" t="s">
        <v>57</v>
      </c>
      <c r="S122" s="61" t="s">
        <v>63</v>
      </c>
      <c r="T122" s="18" t="s">
        <v>213</v>
      </c>
      <c r="U122" s="2"/>
      <c r="V122" s="52" t="s">
        <v>214</v>
      </c>
      <c r="W122" s="20"/>
      <c r="X122" s="54">
        <v>20250903</v>
      </c>
      <c r="Y122" s="65" t="s">
        <v>294</v>
      </c>
      <c r="Z122" s="58">
        <v>999</v>
      </c>
      <c r="AA122" s="55" t="s">
        <v>215</v>
      </c>
      <c r="AB122">
        <v>2</v>
      </c>
      <c r="AF122" t="s">
        <v>308</v>
      </c>
      <c r="AH122" s="2" t="s">
        <v>216</v>
      </c>
      <c r="AI122" s="18" t="s">
        <v>64</v>
      </c>
    </row>
    <row r="123" spans="1:35" ht="15" x14ac:dyDescent="0.25">
      <c r="A123" s="14">
        <v>120</v>
      </c>
      <c r="B123" s="60">
        <v>122</v>
      </c>
      <c r="C123" s="61" t="s">
        <v>210</v>
      </c>
      <c r="D123" s="62" t="s">
        <v>56</v>
      </c>
      <c r="E123" s="62" t="s">
        <v>57</v>
      </c>
      <c r="F123" s="16" t="s">
        <v>58</v>
      </c>
      <c r="G123" s="50" t="s">
        <v>58</v>
      </c>
      <c r="H123" s="18" t="s">
        <v>60</v>
      </c>
      <c r="I123" s="18">
        <v>1</v>
      </c>
      <c r="J123" s="18" t="s">
        <v>423</v>
      </c>
      <c r="L123" t="s">
        <v>441</v>
      </c>
      <c r="N123">
        <v>8</v>
      </c>
      <c r="O123" t="s">
        <v>288</v>
      </c>
      <c r="P123" s="18" t="s">
        <v>211</v>
      </c>
      <c r="Q123" s="61" t="s">
        <v>212</v>
      </c>
      <c r="R123" s="67" t="s">
        <v>57</v>
      </c>
      <c r="S123" s="61" t="s">
        <v>63</v>
      </c>
      <c r="T123" s="18" t="s">
        <v>213</v>
      </c>
      <c r="U123" s="2"/>
      <c r="V123" s="52" t="s">
        <v>214</v>
      </c>
      <c r="W123" s="20"/>
      <c r="X123" s="54">
        <v>20250903</v>
      </c>
      <c r="Y123" s="65" t="s">
        <v>294</v>
      </c>
      <c r="Z123" s="58">
        <v>999</v>
      </c>
      <c r="AA123" s="55" t="s">
        <v>215</v>
      </c>
      <c r="AB123">
        <v>2</v>
      </c>
      <c r="AF123" t="s">
        <v>308</v>
      </c>
      <c r="AH123" s="2" t="s">
        <v>216</v>
      </c>
      <c r="AI123" s="18" t="s">
        <v>64</v>
      </c>
    </row>
    <row r="124" spans="1:35" ht="15" x14ac:dyDescent="0.25">
      <c r="A124" s="14">
        <v>121</v>
      </c>
      <c r="B124" s="60">
        <v>123</v>
      </c>
      <c r="C124" s="61" t="s">
        <v>210</v>
      </c>
      <c r="D124" s="62" t="s">
        <v>56</v>
      </c>
      <c r="E124" s="62" t="s">
        <v>57</v>
      </c>
      <c r="F124" s="16" t="s">
        <v>58</v>
      </c>
      <c r="G124" s="50" t="s">
        <v>58</v>
      </c>
      <c r="H124" s="18" t="s">
        <v>60</v>
      </c>
      <c r="I124" s="18">
        <v>1</v>
      </c>
      <c r="J124" s="18" t="s">
        <v>424</v>
      </c>
      <c r="L124" t="s">
        <v>441</v>
      </c>
      <c r="N124">
        <v>8</v>
      </c>
      <c r="O124" t="s">
        <v>292</v>
      </c>
      <c r="P124" s="18" t="s">
        <v>211</v>
      </c>
      <c r="Q124" s="61" t="s">
        <v>212</v>
      </c>
      <c r="R124" s="67" t="s">
        <v>57</v>
      </c>
      <c r="S124" s="61" t="s">
        <v>63</v>
      </c>
      <c r="T124" s="18" t="s">
        <v>213</v>
      </c>
      <c r="V124" s="52" t="s">
        <v>214</v>
      </c>
      <c r="W124" s="20"/>
      <c r="X124" s="54">
        <v>20250903</v>
      </c>
      <c r="Y124" s="65" t="s">
        <v>294</v>
      </c>
      <c r="Z124" s="58">
        <v>999</v>
      </c>
      <c r="AA124" s="55" t="s">
        <v>215</v>
      </c>
      <c r="AB124">
        <v>2</v>
      </c>
      <c r="AF124" t="s">
        <v>308</v>
      </c>
      <c r="AH124" s="2" t="s">
        <v>216</v>
      </c>
      <c r="AI124" s="18" t="s">
        <v>64</v>
      </c>
    </row>
    <row r="125" spans="1:35" ht="15" x14ac:dyDescent="0.25">
      <c r="A125" s="14">
        <v>122</v>
      </c>
      <c r="B125" s="60">
        <v>124</v>
      </c>
      <c r="C125" s="61" t="s">
        <v>210</v>
      </c>
      <c r="D125" s="62" t="s">
        <v>56</v>
      </c>
      <c r="E125" s="62" t="s">
        <v>57</v>
      </c>
      <c r="F125" s="16" t="s">
        <v>58</v>
      </c>
      <c r="G125" s="50" t="s">
        <v>58</v>
      </c>
      <c r="H125" s="18" t="s">
        <v>60</v>
      </c>
      <c r="I125" s="18">
        <v>1</v>
      </c>
      <c r="J125" s="18" t="s">
        <v>425</v>
      </c>
      <c r="L125" t="s">
        <v>441</v>
      </c>
      <c r="N125">
        <v>8</v>
      </c>
      <c r="O125" t="s">
        <v>289</v>
      </c>
      <c r="P125" s="18" t="s">
        <v>211</v>
      </c>
      <c r="Q125" s="61" t="s">
        <v>212</v>
      </c>
      <c r="R125" s="67" t="s">
        <v>57</v>
      </c>
      <c r="S125" s="61" t="s">
        <v>63</v>
      </c>
      <c r="T125" s="18" t="s">
        <v>213</v>
      </c>
      <c r="U125" s="2"/>
      <c r="V125" s="52" t="s">
        <v>214</v>
      </c>
      <c r="W125" s="20"/>
      <c r="X125" s="54">
        <v>20250903</v>
      </c>
      <c r="Y125" s="65" t="s">
        <v>294</v>
      </c>
      <c r="Z125" s="58">
        <v>999</v>
      </c>
      <c r="AA125" s="55" t="s">
        <v>215</v>
      </c>
      <c r="AB125">
        <v>2</v>
      </c>
      <c r="AF125" t="s">
        <v>308</v>
      </c>
      <c r="AH125" s="2" t="s">
        <v>216</v>
      </c>
      <c r="AI125" s="18" t="s">
        <v>64</v>
      </c>
    </row>
    <row r="126" spans="1:35" ht="15" x14ac:dyDescent="0.25">
      <c r="A126" s="14">
        <v>123</v>
      </c>
      <c r="B126" s="60">
        <v>125</v>
      </c>
      <c r="C126" s="61" t="s">
        <v>210</v>
      </c>
      <c r="D126" s="62" t="s">
        <v>56</v>
      </c>
      <c r="E126" s="62" t="s">
        <v>57</v>
      </c>
      <c r="F126" s="16" t="s">
        <v>58</v>
      </c>
      <c r="G126" s="50" t="s">
        <v>58</v>
      </c>
      <c r="H126" s="18" t="s">
        <v>60</v>
      </c>
      <c r="I126" s="18">
        <v>1</v>
      </c>
      <c r="J126" s="18" t="s">
        <v>426</v>
      </c>
      <c r="L126" t="s">
        <v>441</v>
      </c>
      <c r="N126">
        <v>8</v>
      </c>
      <c r="O126" t="s">
        <v>290</v>
      </c>
      <c r="P126" s="18" t="s">
        <v>211</v>
      </c>
      <c r="Q126" s="61" t="s">
        <v>212</v>
      </c>
      <c r="R126" s="67" t="s">
        <v>57</v>
      </c>
      <c r="S126" s="61" t="s">
        <v>63</v>
      </c>
      <c r="T126" s="18" t="s">
        <v>213</v>
      </c>
      <c r="U126" s="2"/>
      <c r="V126" s="52" t="s">
        <v>214</v>
      </c>
      <c r="W126" s="20"/>
      <c r="X126" s="54">
        <v>20250903</v>
      </c>
      <c r="Y126" s="65" t="s">
        <v>294</v>
      </c>
      <c r="Z126" s="58">
        <v>999</v>
      </c>
      <c r="AA126" s="55" t="s">
        <v>215</v>
      </c>
      <c r="AB126">
        <v>2</v>
      </c>
      <c r="AF126" t="s">
        <v>308</v>
      </c>
      <c r="AH126" s="2" t="s">
        <v>216</v>
      </c>
      <c r="AI126" s="18" t="s">
        <v>64</v>
      </c>
    </row>
    <row r="127" spans="1:35" ht="15" x14ac:dyDescent="0.25">
      <c r="A127" s="14">
        <v>124</v>
      </c>
      <c r="B127" s="60">
        <v>126</v>
      </c>
      <c r="C127" s="61" t="s">
        <v>210</v>
      </c>
      <c r="D127" s="62" t="s">
        <v>56</v>
      </c>
      <c r="E127" s="62" t="s">
        <v>57</v>
      </c>
      <c r="F127" s="16" t="s">
        <v>58</v>
      </c>
      <c r="G127" s="50" t="s">
        <v>58</v>
      </c>
      <c r="H127" s="18" t="s">
        <v>60</v>
      </c>
      <c r="I127" s="18">
        <v>1</v>
      </c>
      <c r="J127" s="18" t="s">
        <v>427</v>
      </c>
      <c r="L127" t="s">
        <v>441</v>
      </c>
      <c r="N127">
        <v>8</v>
      </c>
      <c r="O127" t="s">
        <v>293</v>
      </c>
      <c r="P127" s="18" t="s">
        <v>211</v>
      </c>
      <c r="Q127" s="61" t="s">
        <v>212</v>
      </c>
      <c r="R127" s="67" t="s">
        <v>57</v>
      </c>
      <c r="S127" s="61" t="s">
        <v>63</v>
      </c>
      <c r="T127" s="18" t="s">
        <v>213</v>
      </c>
      <c r="V127" s="52" t="s">
        <v>214</v>
      </c>
      <c r="W127" s="20"/>
      <c r="X127" s="54">
        <v>20250903</v>
      </c>
      <c r="Y127" s="65" t="s">
        <v>294</v>
      </c>
      <c r="Z127" s="58">
        <v>999</v>
      </c>
      <c r="AA127" s="55" t="s">
        <v>215</v>
      </c>
      <c r="AB127">
        <v>2</v>
      </c>
      <c r="AF127" t="s">
        <v>308</v>
      </c>
      <c r="AH127" s="2" t="s">
        <v>216</v>
      </c>
      <c r="AI127" s="18" t="s">
        <v>64</v>
      </c>
    </row>
    <row r="128" spans="1:35" ht="15" x14ac:dyDescent="0.25">
      <c r="A128" s="14">
        <v>125</v>
      </c>
      <c r="B128" s="60">
        <v>127</v>
      </c>
      <c r="C128" s="61" t="s">
        <v>210</v>
      </c>
      <c r="D128" s="62" t="s">
        <v>56</v>
      </c>
      <c r="E128" s="62" t="s">
        <v>57</v>
      </c>
      <c r="F128" s="16" t="s">
        <v>58</v>
      </c>
      <c r="G128" s="50" t="s">
        <v>58</v>
      </c>
      <c r="H128" s="18" t="s">
        <v>60</v>
      </c>
      <c r="I128" s="18">
        <v>1</v>
      </c>
      <c r="J128" s="18" t="s">
        <v>428</v>
      </c>
      <c r="L128" t="s">
        <v>441</v>
      </c>
      <c r="N128">
        <v>8</v>
      </c>
      <c r="O128" t="s">
        <v>291</v>
      </c>
      <c r="P128" s="18" t="s">
        <v>211</v>
      </c>
      <c r="Q128" s="61" t="s">
        <v>212</v>
      </c>
      <c r="R128" s="67" t="s">
        <v>57</v>
      </c>
      <c r="S128" s="61" t="s">
        <v>63</v>
      </c>
      <c r="T128" s="18" t="s">
        <v>213</v>
      </c>
      <c r="U128" s="2"/>
      <c r="V128" s="52" t="s">
        <v>214</v>
      </c>
      <c r="W128" s="20"/>
      <c r="X128" s="54">
        <v>20250903</v>
      </c>
      <c r="Y128" s="65" t="s">
        <v>294</v>
      </c>
      <c r="Z128" s="58">
        <v>999</v>
      </c>
      <c r="AA128" s="55" t="s">
        <v>215</v>
      </c>
      <c r="AB128">
        <v>2</v>
      </c>
      <c r="AF128" t="s">
        <v>308</v>
      </c>
      <c r="AH128" s="2" t="s">
        <v>216</v>
      </c>
      <c r="AI128" s="18" t="s">
        <v>64</v>
      </c>
    </row>
    <row r="129" spans="1:35" ht="15" x14ac:dyDescent="0.25">
      <c r="A129" s="14">
        <v>126</v>
      </c>
      <c r="B129" s="60">
        <v>128</v>
      </c>
      <c r="C129" s="61" t="s">
        <v>210</v>
      </c>
      <c r="D129" s="62" t="s">
        <v>56</v>
      </c>
      <c r="E129" s="62" t="s">
        <v>57</v>
      </c>
      <c r="F129" s="16" t="s">
        <v>58</v>
      </c>
      <c r="G129" s="50" t="s">
        <v>58</v>
      </c>
      <c r="H129" s="18" t="s">
        <v>60</v>
      </c>
      <c r="I129" s="18">
        <v>1</v>
      </c>
      <c r="J129" s="18" t="s">
        <v>429</v>
      </c>
      <c r="L129" t="s">
        <v>441</v>
      </c>
      <c r="N129">
        <v>10</v>
      </c>
      <c r="O129" t="s">
        <v>288</v>
      </c>
      <c r="P129" s="18" t="s">
        <v>211</v>
      </c>
      <c r="Q129" s="61" t="s">
        <v>212</v>
      </c>
      <c r="R129" s="67" t="s">
        <v>57</v>
      </c>
      <c r="S129" s="61" t="s">
        <v>63</v>
      </c>
      <c r="T129" s="18" t="s">
        <v>213</v>
      </c>
      <c r="U129" s="2"/>
      <c r="V129" s="52" t="s">
        <v>214</v>
      </c>
      <c r="W129" s="20"/>
      <c r="X129" s="54">
        <v>20250903</v>
      </c>
      <c r="Y129" s="65" t="s">
        <v>294</v>
      </c>
      <c r="Z129" s="58">
        <v>999</v>
      </c>
      <c r="AA129" s="55" t="s">
        <v>215</v>
      </c>
      <c r="AB129">
        <v>2</v>
      </c>
      <c r="AF129" t="s">
        <v>308</v>
      </c>
      <c r="AH129" s="2" t="s">
        <v>216</v>
      </c>
      <c r="AI129" s="18" t="s">
        <v>64</v>
      </c>
    </row>
    <row r="130" spans="1:35" ht="15" x14ac:dyDescent="0.25">
      <c r="A130" s="14">
        <v>127</v>
      </c>
      <c r="B130" s="60">
        <v>129</v>
      </c>
      <c r="C130" s="61" t="s">
        <v>210</v>
      </c>
      <c r="D130" s="62" t="s">
        <v>56</v>
      </c>
      <c r="E130" s="62" t="s">
        <v>57</v>
      </c>
      <c r="F130" s="16" t="s">
        <v>58</v>
      </c>
      <c r="G130" s="50" t="s">
        <v>58</v>
      </c>
      <c r="H130" s="18" t="s">
        <v>60</v>
      </c>
      <c r="I130" s="18">
        <v>1</v>
      </c>
      <c r="J130" s="18" t="s">
        <v>430</v>
      </c>
      <c r="L130" t="s">
        <v>441</v>
      </c>
      <c r="N130">
        <v>10</v>
      </c>
      <c r="O130" t="s">
        <v>292</v>
      </c>
      <c r="P130" s="18" t="s">
        <v>211</v>
      </c>
      <c r="Q130" s="61" t="s">
        <v>212</v>
      </c>
      <c r="R130" s="67" t="s">
        <v>57</v>
      </c>
      <c r="S130" s="61" t="s">
        <v>63</v>
      </c>
      <c r="T130" s="18" t="s">
        <v>213</v>
      </c>
      <c r="V130" s="52" t="s">
        <v>214</v>
      </c>
      <c r="W130" s="20"/>
      <c r="X130" s="54">
        <v>20250903</v>
      </c>
      <c r="Y130" s="65" t="s">
        <v>294</v>
      </c>
      <c r="Z130" s="58">
        <v>999</v>
      </c>
      <c r="AA130" s="55" t="s">
        <v>215</v>
      </c>
      <c r="AB130">
        <v>2</v>
      </c>
      <c r="AF130" t="s">
        <v>308</v>
      </c>
      <c r="AH130" s="2" t="s">
        <v>216</v>
      </c>
      <c r="AI130" s="18" t="s">
        <v>64</v>
      </c>
    </row>
    <row r="131" spans="1:35" ht="15" x14ac:dyDescent="0.25">
      <c r="A131" s="14">
        <v>128</v>
      </c>
      <c r="B131" s="60">
        <v>130</v>
      </c>
      <c r="C131" s="61" t="s">
        <v>210</v>
      </c>
      <c r="D131" s="62" t="s">
        <v>56</v>
      </c>
      <c r="E131" s="62" t="s">
        <v>57</v>
      </c>
      <c r="F131" s="16" t="s">
        <v>58</v>
      </c>
      <c r="G131" s="50" t="s">
        <v>58</v>
      </c>
      <c r="H131" s="18" t="s">
        <v>60</v>
      </c>
      <c r="I131" s="18">
        <v>1</v>
      </c>
      <c r="J131" s="18" t="s">
        <v>431</v>
      </c>
      <c r="L131" t="s">
        <v>441</v>
      </c>
      <c r="N131">
        <v>10</v>
      </c>
      <c r="O131" t="s">
        <v>289</v>
      </c>
      <c r="P131" s="18" t="s">
        <v>211</v>
      </c>
      <c r="Q131" s="61" t="s">
        <v>212</v>
      </c>
      <c r="R131" s="67" t="s">
        <v>57</v>
      </c>
      <c r="S131" s="61" t="s">
        <v>63</v>
      </c>
      <c r="T131" s="18" t="s">
        <v>213</v>
      </c>
      <c r="U131" s="2"/>
      <c r="V131" s="52" t="s">
        <v>214</v>
      </c>
      <c r="W131" s="20"/>
      <c r="X131" s="54">
        <v>20250903</v>
      </c>
      <c r="Y131" s="65" t="s">
        <v>294</v>
      </c>
      <c r="Z131" s="58">
        <v>999</v>
      </c>
      <c r="AA131" s="55" t="s">
        <v>215</v>
      </c>
      <c r="AB131">
        <v>2</v>
      </c>
      <c r="AF131" t="s">
        <v>308</v>
      </c>
      <c r="AH131" s="2" t="s">
        <v>216</v>
      </c>
      <c r="AI131" s="18" t="s">
        <v>64</v>
      </c>
    </row>
    <row r="132" spans="1:35" ht="15" x14ac:dyDescent="0.25">
      <c r="A132" s="14">
        <v>129</v>
      </c>
      <c r="B132" s="60">
        <v>131</v>
      </c>
      <c r="C132" s="61" t="s">
        <v>210</v>
      </c>
      <c r="D132" s="62" t="s">
        <v>56</v>
      </c>
      <c r="E132" s="62" t="s">
        <v>57</v>
      </c>
      <c r="F132" s="16" t="s">
        <v>58</v>
      </c>
      <c r="G132" s="50" t="s">
        <v>58</v>
      </c>
      <c r="H132" s="18" t="s">
        <v>60</v>
      </c>
      <c r="I132" s="18">
        <v>1</v>
      </c>
      <c r="J132" s="18" t="s">
        <v>432</v>
      </c>
      <c r="L132" t="s">
        <v>441</v>
      </c>
      <c r="N132">
        <v>10</v>
      </c>
      <c r="O132" t="s">
        <v>290</v>
      </c>
      <c r="P132" s="18" t="s">
        <v>211</v>
      </c>
      <c r="Q132" s="61" t="s">
        <v>212</v>
      </c>
      <c r="R132" s="67" t="s">
        <v>57</v>
      </c>
      <c r="S132" s="61" t="s">
        <v>63</v>
      </c>
      <c r="T132" s="18" t="s">
        <v>213</v>
      </c>
      <c r="U132" s="2"/>
      <c r="V132" s="52" t="s">
        <v>214</v>
      </c>
      <c r="W132" s="20"/>
      <c r="X132" s="54">
        <v>20250903</v>
      </c>
      <c r="Y132" s="65" t="s">
        <v>294</v>
      </c>
      <c r="Z132" s="58">
        <v>999</v>
      </c>
      <c r="AA132" s="55" t="s">
        <v>215</v>
      </c>
      <c r="AB132">
        <v>2</v>
      </c>
      <c r="AF132" t="s">
        <v>308</v>
      </c>
      <c r="AH132" s="2" t="s">
        <v>216</v>
      </c>
      <c r="AI132" s="18" t="s">
        <v>64</v>
      </c>
    </row>
    <row r="133" spans="1:35" ht="15" x14ac:dyDescent="0.25">
      <c r="A133" s="14">
        <v>130</v>
      </c>
      <c r="B133" s="60">
        <v>132</v>
      </c>
      <c r="C133" s="61" t="s">
        <v>210</v>
      </c>
      <c r="D133" s="62" t="s">
        <v>56</v>
      </c>
      <c r="E133" s="62" t="s">
        <v>57</v>
      </c>
      <c r="F133" s="16" t="s">
        <v>58</v>
      </c>
      <c r="G133" s="50" t="s">
        <v>58</v>
      </c>
      <c r="H133" s="18" t="s">
        <v>60</v>
      </c>
      <c r="I133" s="18">
        <v>1</v>
      </c>
      <c r="J133" s="18" t="s">
        <v>433</v>
      </c>
      <c r="L133" t="s">
        <v>441</v>
      </c>
      <c r="N133">
        <v>10</v>
      </c>
      <c r="O133" t="s">
        <v>293</v>
      </c>
      <c r="P133" s="18" t="s">
        <v>211</v>
      </c>
      <c r="Q133" s="61" t="s">
        <v>212</v>
      </c>
      <c r="R133" s="67" t="s">
        <v>57</v>
      </c>
      <c r="S133" s="61" t="s">
        <v>63</v>
      </c>
      <c r="T133" s="18" t="s">
        <v>213</v>
      </c>
      <c r="V133" s="52" t="s">
        <v>214</v>
      </c>
      <c r="W133" s="20"/>
      <c r="X133" s="54">
        <v>20250903</v>
      </c>
      <c r="Y133" s="65" t="s">
        <v>294</v>
      </c>
      <c r="Z133" s="58">
        <v>999</v>
      </c>
      <c r="AA133" s="55" t="s">
        <v>215</v>
      </c>
      <c r="AB133">
        <v>2</v>
      </c>
      <c r="AF133" t="s">
        <v>308</v>
      </c>
      <c r="AH133" s="2" t="s">
        <v>216</v>
      </c>
      <c r="AI133" s="18" t="s">
        <v>64</v>
      </c>
    </row>
    <row r="134" spans="1:35" ht="15" x14ac:dyDescent="0.25">
      <c r="A134" s="14">
        <v>131</v>
      </c>
      <c r="B134" s="60">
        <v>133</v>
      </c>
      <c r="C134" s="61" t="s">
        <v>210</v>
      </c>
      <c r="D134" s="62" t="s">
        <v>56</v>
      </c>
      <c r="E134" s="62" t="s">
        <v>57</v>
      </c>
      <c r="F134" s="16" t="s">
        <v>58</v>
      </c>
      <c r="G134" s="50" t="s">
        <v>58</v>
      </c>
      <c r="H134" s="18" t="s">
        <v>60</v>
      </c>
      <c r="I134" s="18">
        <v>1</v>
      </c>
      <c r="J134" s="18" t="s">
        <v>434</v>
      </c>
      <c r="L134" t="s">
        <v>441</v>
      </c>
      <c r="N134">
        <v>10</v>
      </c>
      <c r="O134" t="s">
        <v>291</v>
      </c>
      <c r="P134" s="18" t="s">
        <v>211</v>
      </c>
      <c r="Q134" s="61" t="s">
        <v>212</v>
      </c>
      <c r="R134" s="67" t="s">
        <v>57</v>
      </c>
      <c r="S134" s="61" t="s">
        <v>63</v>
      </c>
      <c r="T134" s="18" t="s">
        <v>213</v>
      </c>
      <c r="U134" s="2"/>
      <c r="V134" s="52" t="s">
        <v>214</v>
      </c>
      <c r="W134" s="20"/>
      <c r="X134" s="54">
        <v>20250903</v>
      </c>
      <c r="Y134" s="65" t="s">
        <v>294</v>
      </c>
      <c r="Z134" s="58">
        <v>999</v>
      </c>
      <c r="AA134" s="55" t="s">
        <v>215</v>
      </c>
      <c r="AB134">
        <v>2</v>
      </c>
      <c r="AF134" t="s">
        <v>308</v>
      </c>
      <c r="AH134" s="2" t="s">
        <v>216</v>
      </c>
      <c r="AI134" s="18" t="s">
        <v>64</v>
      </c>
    </row>
    <row r="135" spans="1:35" ht="15" x14ac:dyDescent="0.25">
      <c r="A135" s="14">
        <v>132</v>
      </c>
      <c r="B135" s="60">
        <v>134</v>
      </c>
      <c r="C135" s="61" t="s">
        <v>210</v>
      </c>
      <c r="D135" s="62" t="s">
        <v>56</v>
      </c>
      <c r="E135" s="62" t="s">
        <v>57</v>
      </c>
      <c r="F135" s="16" t="s">
        <v>58</v>
      </c>
      <c r="G135" s="50" t="s">
        <v>58</v>
      </c>
      <c r="H135" s="18" t="s">
        <v>60</v>
      </c>
      <c r="I135" s="18">
        <v>1</v>
      </c>
      <c r="J135" s="18" t="s">
        <v>435</v>
      </c>
      <c r="L135" t="s">
        <v>442</v>
      </c>
      <c r="N135">
        <v>18</v>
      </c>
      <c r="O135" t="s">
        <v>288</v>
      </c>
      <c r="P135" s="18" t="s">
        <v>211</v>
      </c>
      <c r="Q135" s="61" t="s">
        <v>212</v>
      </c>
      <c r="R135" s="67" t="s">
        <v>57</v>
      </c>
      <c r="S135" s="61" t="s">
        <v>63</v>
      </c>
      <c r="T135" s="18" t="s">
        <v>213</v>
      </c>
      <c r="U135" s="2"/>
      <c r="V135" s="52" t="s">
        <v>214</v>
      </c>
      <c r="W135" s="20"/>
      <c r="X135" s="54">
        <v>20250903</v>
      </c>
      <c r="Y135" s="65" t="s">
        <v>294</v>
      </c>
      <c r="Z135" s="58">
        <v>999</v>
      </c>
      <c r="AA135" s="55" t="s">
        <v>215</v>
      </c>
      <c r="AB135">
        <v>2</v>
      </c>
      <c r="AF135" t="s">
        <v>308</v>
      </c>
      <c r="AH135" s="2" t="s">
        <v>216</v>
      </c>
      <c r="AI135" s="18" t="s">
        <v>64</v>
      </c>
    </row>
    <row r="136" spans="1:35" ht="15" x14ac:dyDescent="0.25">
      <c r="A136" s="14">
        <v>133</v>
      </c>
      <c r="B136" s="60">
        <v>135</v>
      </c>
      <c r="C136" s="61" t="s">
        <v>210</v>
      </c>
      <c r="D136" s="62" t="s">
        <v>56</v>
      </c>
      <c r="E136" s="62" t="s">
        <v>57</v>
      </c>
      <c r="F136" s="16" t="s">
        <v>58</v>
      </c>
      <c r="G136" s="50" t="s">
        <v>58</v>
      </c>
      <c r="H136" s="18" t="s">
        <v>60</v>
      </c>
      <c r="I136" s="18">
        <v>1</v>
      </c>
      <c r="J136" s="18" t="s">
        <v>436</v>
      </c>
      <c r="L136" t="s">
        <v>442</v>
      </c>
      <c r="N136">
        <v>18</v>
      </c>
      <c r="O136" t="s">
        <v>292</v>
      </c>
      <c r="P136" s="18" t="s">
        <v>211</v>
      </c>
      <c r="Q136" s="61" t="s">
        <v>212</v>
      </c>
      <c r="R136" s="67" t="s">
        <v>57</v>
      </c>
      <c r="S136" s="61" t="s">
        <v>63</v>
      </c>
      <c r="T136" s="18" t="s">
        <v>213</v>
      </c>
      <c r="V136" s="52" t="s">
        <v>214</v>
      </c>
      <c r="W136" s="20"/>
      <c r="X136" s="54">
        <v>20250903</v>
      </c>
      <c r="Y136" s="65" t="s">
        <v>294</v>
      </c>
      <c r="Z136" s="58">
        <v>999</v>
      </c>
      <c r="AA136" s="55" t="s">
        <v>215</v>
      </c>
      <c r="AB136">
        <v>2</v>
      </c>
      <c r="AF136" t="s">
        <v>308</v>
      </c>
      <c r="AH136" s="2" t="s">
        <v>216</v>
      </c>
      <c r="AI136" s="18" t="s">
        <v>64</v>
      </c>
    </row>
    <row r="137" spans="1:35" ht="15" x14ac:dyDescent="0.25">
      <c r="A137" s="14">
        <v>134</v>
      </c>
      <c r="B137" s="60">
        <v>136</v>
      </c>
      <c r="C137" s="61" t="s">
        <v>210</v>
      </c>
      <c r="D137" s="62" t="s">
        <v>56</v>
      </c>
      <c r="E137" s="62" t="s">
        <v>57</v>
      </c>
      <c r="F137" s="16" t="s">
        <v>58</v>
      </c>
      <c r="G137" s="50" t="s">
        <v>58</v>
      </c>
      <c r="H137" s="18" t="s">
        <v>60</v>
      </c>
      <c r="I137" s="18">
        <v>1</v>
      </c>
      <c r="J137" s="18" t="s">
        <v>437</v>
      </c>
      <c r="L137" t="s">
        <v>442</v>
      </c>
      <c r="N137">
        <v>18</v>
      </c>
      <c r="O137" t="s">
        <v>289</v>
      </c>
      <c r="P137" s="18" t="s">
        <v>211</v>
      </c>
      <c r="Q137" s="61" t="s">
        <v>212</v>
      </c>
      <c r="R137" s="67" t="s">
        <v>57</v>
      </c>
      <c r="S137" s="61" t="s">
        <v>63</v>
      </c>
      <c r="T137" s="18" t="s">
        <v>213</v>
      </c>
      <c r="U137" s="2"/>
      <c r="V137" s="52" t="s">
        <v>214</v>
      </c>
      <c r="W137" s="20"/>
      <c r="X137" s="54">
        <v>20250903</v>
      </c>
      <c r="Y137" s="65" t="s">
        <v>294</v>
      </c>
      <c r="Z137" s="58">
        <v>999</v>
      </c>
      <c r="AA137" s="55" t="s">
        <v>215</v>
      </c>
      <c r="AB137">
        <v>2</v>
      </c>
      <c r="AF137" t="s">
        <v>308</v>
      </c>
      <c r="AH137" s="2" t="s">
        <v>216</v>
      </c>
      <c r="AI137" s="18" t="s">
        <v>64</v>
      </c>
    </row>
    <row r="138" spans="1:35" ht="15" x14ac:dyDescent="0.25">
      <c r="A138" s="14">
        <v>135</v>
      </c>
      <c r="B138" s="60">
        <v>137</v>
      </c>
      <c r="C138" s="61" t="s">
        <v>210</v>
      </c>
      <c r="D138" s="62" t="s">
        <v>56</v>
      </c>
      <c r="E138" s="62" t="s">
        <v>57</v>
      </c>
      <c r="F138" s="16" t="s">
        <v>58</v>
      </c>
      <c r="G138" s="50" t="s">
        <v>58</v>
      </c>
      <c r="H138" s="18" t="s">
        <v>60</v>
      </c>
      <c r="I138" s="18">
        <v>1</v>
      </c>
      <c r="J138" s="18" t="s">
        <v>438</v>
      </c>
      <c r="L138" t="s">
        <v>442</v>
      </c>
      <c r="N138">
        <v>18</v>
      </c>
      <c r="O138" t="s">
        <v>290</v>
      </c>
      <c r="P138" s="18" t="s">
        <v>211</v>
      </c>
      <c r="Q138" s="61" t="s">
        <v>212</v>
      </c>
      <c r="R138" s="67" t="s">
        <v>57</v>
      </c>
      <c r="S138" s="61" t="s">
        <v>63</v>
      </c>
      <c r="T138" s="18" t="s">
        <v>213</v>
      </c>
      <c r="U138" s="2"/>
      <c r="V138" s="52" t="s">
        <v>214</v>
      </c>
      <c r="W138" s="20"/>
      <c r="X138" s="54">
        <v>20250903</v>
      </c>
      <c r="Y138" s="65" t="s">
        <v>294</v>
      </c>
      <c r="Z138" s="58">
        <v>999</v>
      </c>
      <c r="AA138" s="55" t="s">
        <v>215</v>
      </c>
      <c r="AB138">
        <v>2</v>
      </c>
      <c r="AF138" t="s">
        <v>308</v>
      </c>
      <c r="AH138" s="2" t="s">
        <v>216</v>
      </c>
      <c r="AI138" s="18" t="s">
        <v>64</v>
      </c>
    </row>
    <row r="139" spans="1:35" ht="15" x14ac:dyDescent="0.25">
      <c r="A139" s="14">
        <v>136</v>
      </c>
      <c r="B139" s="60">
        <v>138</v>
      </c>
      <c r="C139" s="61" t="s">
        <v>210</v>
      </c>
      <c r="D139" s="62" t="s">
        <v>56</v>
      </c>
      <c r="E139" s="62" t="s">
        <v>57</v>
      </c>
      <c r="F139" s="16" t="s">
        <v>58</v>
      </c>
      <c r="G139" s="50" t="s">
        <v>58</v>
      </c>
      <c r="H139" s="18" t="s">
        <v>60</v>
      </c>
      <c r="I139" s="18">
        <v>1</v>
      </c>
      <c r="J139" s="18" t="s">
        <v>439</v>
      </c>
      <c r="L139" t="s">
        <v>442</v>
      </c>
      <c r="N139">
        <v>18</v>
      </c>
      <c r="O139" t="s">
        <v>293</v>
      </c>
      <c r="P139" s="18" t="s">
        <v>211</v>
      </c>
      <c r="Q139" s="61" t="s">
        <v>212</v>
      </c>
      <c r="R139" s="67" t="s">
        <v>57</v>
      </c>
      <c r="S139" s="61" t="s">
        <v>63</v>
      </c>
      <c r="T139" s="18" t="s">
        <v>213</v>
      </c>
      <c r="V139" s="52" t="s">
        <v>214</v>
      </c>
      <c r="W139" s="20"/>
      <c r="X139" s="54">
        <v>20250903</v>
      </c>
      <c r="Y139" s="65" t="s">
        <v>294</v>
      </c>
      <c r="Z139" s="58">
        <v>999</v>
      </c>
      <c r="AA139" s="55" t="s">
        <v>215</v>
      </c>
      <c r="AB139">
        <v>2</v>
      </c>
      <c r="AF139" t="s">
        <v>308</v>
      </c>
      <c r="AH139" s="2" t="s">
        <v>216</v>
      </c>
      <c r="AI139" s="18" t="s">
        <v>64</v>
      </c>
    </row>
    <row r="140" spans="1:35" ht="15" x14ac:dyDescent="0.25">
      <c r="A140" s="14">
        <v>137</v>
      </c>
      <c r="B140" s="60">
        <v>139</v>
      </c>
      <c r="C140" s="61" t="s">
        <v>210</v>
      </c>
      <c r="D140" s="62" t="s">
        <v>56</v>
      </c>
      <c r="E140" s="62" t="s">
        <v>57</v>
      </c>
      <c r="F140" s="16" t="s">
        <v>58</v>
      </c>
      <c r="G140" s="50" t="s">
        <v>58</v>
      </c>
      <c r="H140" s="18" t="s">
        <v>60</v>
      </c>
      <c r="I140" s="18">
        <v>1</v>
      </c>
      <c r="J140" s="18" t="s">
        <v>440</v>
      </c>
      <c r="L140" t="s">
        <v>442</v>
      </c>
      <c r="N140">
        <v>18</v>
      </c>
      <c r="O140" t="s">
        <v>291</v>
      </c>
      <c r="P140" s="18" t="s">
        <v>211</v>
      </c>
      <c r="Q140" s="61" t="s">
        <v>212</v>
      </c>
      <c r="R140" s="67" t="s">
        <v>57</v>
      </c>
      <c r="S140" s="61" t="s">
        <v>63</v>
      </c>
      <c r="T140" s="18" t="s">
        <v>213</v>
      </c>
      <c r="U140" s="2"/>
      <c r="V140" s="52" t="s">
        <v>214</v>
      </c>
      <c r="W140" s="20"/>
      <c r="X140" s="54">
        <v>20250903</v>
      </c>
      <c r="Y140" s="65" t="s">
        <v>294</v>
      </c>
      <c r="Z140" s="58">
        <v>999</v>
      </c>
      <c r="AA140" s="55" t="s">
        <v>215</v>
      </c>
      <c r="AB140">
        <v>2</v>
      </c>
      <c r="AF140" t="s">
        <v>308</v>
      </c>
      <c r="AH140" s="2" t="s">
        <v>216</v>
      </c>
      <c r="AI140" s="18" t="s">
        <v>64</v>
      </c>
    </row>
  </sheetData>
  <autoFilter ref="A1:AI6" xr:uid="{00000000-0009-0000-0000-000003000000}"/>
  <dataConsolidate link="1"/>
  <phoneticPr fontId="3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2:I53"/>
  <sheetViews>
    <sheetView topLeftCell="A39" workbookViewId="0">
      <selection activeCell="I31" sqref="I31"/>
    </sheetView>
  </sheetViews>
  <sheetFormatPr baseColWidth="10" defaultColWidth="35.28515625" defaultRowHeight="11.25" x14ac:dyDescent="0.2"/>
  <cols>
    <col min="1" max="1" width="29.28515625" style="24" bestFit="1" customWidth="1"/>
    <col min="2" max="2" width="23.85546875" style="25" bestFit="1" customWidth="1"/>
    <col min="3" max="3" width="10.140625" style="24" bestFit="1" customWidth="1"/>
    <col min="4" max="4" width="36.28515625" style="25" bestFit="1" customWidth="1"/>
    <col min="5" max="5" width="4.140625" style="24" bestFit="1" customWidth="1"/>
    <col min="6" max="6" width="5.5703125" style="26" bestFit="1" customWidth="1"/>
    <col min="7" max="7" width="7.85546875" style="26" bestFit="1" customWidth="1"/>
    <col min="8" max="8" width="6.28515625" style="26" bestFit="1" customWidth="1"/>
    <col min="9" max="256" width="35.28515625" style="23"/>
    <col min="257" max="257" width="29.28515625" style="23" bestFit="1" customWidth="1"/>
    <col min="258" max="258" width="23.85546875" style="23" bestFit="1" customWidth="1"/>
    <col min="259" max="259" width="10.140625" style="23" bestFit="1" customWidth="1"/>
    <col min="260" max="260" width="36.28515625" style="23" bestFit="1" customWidth="1"/>
    <col min="261" max="261" width="4.140625" style="23" bestFit="1" customWidth="1"/>
    <col min="262" max="262" width="5.5703125" style="23" bestFit="1" customWidth="1"/>
    <col min="263" max="263" width="7.85546875" style="23" bestFit="1" customWidth="1"/>
    <col min="264" max="264" width="6.28515625" style="23" bestFit="1" customWidth="1"/>
    <col min="265" max="512" width="35.28515625" style="23"/>
    <col min="513" max="513" width="29.28515625" style="23" bestFit="1" customWidth="1"/>
    <col min="514" max="514" width="23.85546875" style="23" bestFit="1" customWidth="1"/>
    <col min="515" max="515" width="10.140625" style="23" bestFit="1" customWidth="1"/>
    <col min="516" max="516" width="36.28515625" style="23" bestFit="1" customWidth="1"/>
    <col min="517" max="517" width="4.140625" style="23" bestFit="1" customWidth="1"/>
    <col min="518" max="518" width="5.5703125" style="23" bestFit="1" customWidth="1"/>
    <col min="519" max="519" width="7.85546875" style="23" bestFit="1" customWidth="1"/>
    <col min="520" max="520" width="6.28515625" style="23" bestFit="1" customWidth="1"/>
    <col min="521" max="768" width="35.28515625" style="23"/>
    <col min="769" max="769" width="29.28515625" style="23" bestFit="1" customWidth="1"/>
    <col min="770" max="770" width="23.85546875" style="23" bestFit="1" customWidth="1"/>
    <col min="771" max="771" width="10.140625" style="23" bestFit="1" customWidth="1"/>
    <col min="772" max="772" width="36.28515625" style="23" bestFit="1" customWidth="1"/>
    <col min="773" max="773" width="4.140625" style="23" bestFit="1" customWidth="1"/>
    <col min="774" max="774" width="5.5703125" style="23" bestFit="1" customWidth="1"/>
    <col min="775" max="775" width="7.85546875" style="23" bestFit="1" customWidth="1"/>
    <col min="776" max="776" width="6.28515625" style="23" bestFit="1" customWidth="1"/>
    <col min="777" max="1024" width="35.28515625" style="23"/>
    <col min="1025" max="1025" width="29.28515625" style="23" bestFit="1" customWidth="1"/>
    <col min="1026" max="1026" width="23.85546875" style="23" bestFit="1" customWidth="1"/>
    <col min="1027" max="1027" width="10.140625" style="23" bestFit="1" customWidth="1"/>
    <col min="1028" max="1028" width="36.28515625" style="23" bestFit="1" customWidth="1"/>
    <col min="1029" max="1029" width="4.140625" style="23" bestFit="1" customWidth="1"/>
    <col min="1030" max="1030" width="5.5703125" style="23" bestFit="1" customWidth="1"/>
    <col min="1031" max="1031" width="7.85546875" style="23" bestFit="1" customWidth="1"/>
    <col min="1032" max="1032" width="6.28515625" style="23" bestFit="1" customWidth="1"/>
    <col min="1033" max="1280" width="35.28515625" style="23"/>
    <col min="1281" max="1281" width="29.28515625" style="23" bestFit="1" customWidth="1"/>
    <col min="1282" max="1282" width="23.85546875" style="23" bestFit="1" customWidth="1"/>
    <col min="1283" max="1283" width="10.140625" style="23" bestFit="1" customWidth="1"/>
    <col min="1284" max="1284" width="36.28515625" style="23" bestFit="1" customWidth="1"/>
    <col min="1285" max="1285" width="4.140625" style="23" bestFit="1" customWidth="1"/>
    <col min="1286" max="1286" width="5.5703125" style="23" bestFit="1" customWidth="1"/>
    <col min="1287" max="1287" width="7.85546875" style="23" bestFit="1" customWidth="1"/>
    <col min="1288" max="1288" width="6.28515625" style="23" bestFit="1" customWidth="1"/>
    <col min="1289" max="1536" width="35.28515625" style="23"/>
    <col min="1537" max="1537" width="29.28515625" style="23" bestFit="1" customWidth="1"/>
    <col min="1538" max="1538" width="23.85546875" style="23" bestFit="1" customWidth="1"/>
    <col min="1539" max="1539" width="10.140625" style="23" bestFit="1" customWidth="1"/>
    <col min="1540" max="1540" width="36.28515625" style="23" bestFit="1" customWidth="1"/>
    <col min="1541" max="1541" width="4.140625" style="23" bestFit="1" customWidth="1"/>
    <col min="1542" max="1542" width="5.5703125" style="23" bestFit="1" customWidth="1"/>
    <col min="1543" max="1543" width="7.85546875" style="23" bestFit="1" customWidth="1"/>
    <col min="1544" max="1544" width="6.28515625" style="23" bestFit="1" customWidth="1"/>
    <col min="1545" max="1792" width="35.28515625" style="23"/>
    <col min="1793" max="1793" width="29.28515625" style="23" bestFit="1" customWidth="1"/>
    <col min="1794" max="1794" width="23.85546875" style="23" bestFit="1" customWidth="1"/>
    <col min="1795" max="1795" width="10.140625" style="23" bestFit="1" customWidth="1"/>
    <col min="1796" max="1796" width="36.28515625" style="23" bestFit="1" customWidth="1"/>
    <col min="1797" max="1797" width="4.140625" style="23" bestFit="1" customWidth="1"/>
    <col min="1798" max="1798" width="5.5703125" style="23" bestFit="1" customWidth="1"/>
    <col min="1799" max="1799" width="7.85546875" style="23" bestFit="1" customWidth="1"/>
    <col min="1800" max="1800" width="6.28515625" style="23" bestFit="1" customWidth="1"/>
    <col min="1801" max="2048" width="35.28515625" style="23"/>
    <col min="2049" max="2049" width="29.28515625" style="23" bestFit="1" customWidth="1"/>
    <col min="2050" max="2050" width="23.85546875" style="23" bestFit="1" customWidth="1"/>
    <col min="2051" max="2051" width="10.140625" style="23" bestFit="1" customWidth="1"/>
    <col min="2052" max="2052" width="36.28515625" style="23" bestFit="1" customWidth="1"/>
    <col min="2053" max="2053" width="4.140625" style="23" bestFit="1" customWidth="1"/>
    <col min="2054" max="2054" width="5.5703125" style="23" bestFit="1" customWidth="1"/>
    <col min="2055" max="2055" width="7.85546875" style="23" bestFit="1" customWidth="1"/>
    <col min="2056" max="2056" width="6.28515625" style="23" bestFit="1" customWidth="1"/>
    <col min="2057" max="2304" width="35.28515625" style="23"/>
    <col min="2305" max="2305" width="29.28515625" style="23" bestFit="1" customWidth="1"/>
    <col min="2306" max="2306" width="23.85546875" style="23" bestFit="1" customWidth="1"/>
    <col min="2307" max="2307" width="10.140625" style="23" bestFit="1" customWidth="1"/>
    <col min="2308" max="2308" width="36.28515625" style="23" bestFit="1" customWidth="1"/>
    <col min="2309" max="2309" width="4.140625" style="23" bestFit="1" customWidth="1"/>
    <col min="2310" max="2310" width="5.5703125" style="23" bestFit="1" customWidth="1"/>
    <col min="2311" max="2311" width="7.85546875" style="23" bestFit="1" customWidth="1"/>
    <col min="2312" max="2312" width="6.28515625" style="23" bestFit="1" customWidth="1"/>
    <col min="2313" max="2560" width="35.28515625" style="23"/>
    <col min="2561" max="2561" width="29.28515625" style="23" bestFit="1" customWidth="1"/>
    <col min="2562" max="2562" width="23.85546875" style="23" bestFit="1" customWidth="1"/>
    <col min="2563" max="2563" width="10.140625" style="23" bestFit="1" customWidth="1"/>
    <col min="2564" max="2564" width="36.28515625" style="23" bestFit="1" customWidth="1"/>
    <col min="2565" max="2565" width="4.140625" style="23" bestFit="1" customWidth="1"/>
    <col min="2566" max="2566" width="5.5703125" style="23" bestFit="1" customWidth="1"/>
    <col min="2567" max="2567" width="7.85546875" style="23" bestFit="1" customWidth="1"/>
    <col min="2568" max="2568" width="6.28515625" style="23" bestFit="1" customWidth="1"/>
    <col min="2569" max="2816" width="35.28515625" style="23"/>
    <col min="2817" max="2817" width="29.28515625" style="23" bestFit="1" customWidth="1"/>
    <col min="2818" max="2818" width="23.85546875" style="23" bestFit="1" customWidth="1"/>
    <col min="2819" max="2819" width="10.140625" style="23" bestFit="1" customWidth="1"/>
    <col min="2820" max="2820" width="36.28515625" style="23" bestFit="1" customWidth="1"/>
    <col min="2821" max="2821" width="4.140625" style="23" bestFit="1" customWidth="1"/>
    <col min="2822" max="2822" width="5.5703125" style="23" bestFit="1" customWidth="1"/>
    <col min="2823" max="2823" width="7.85546875" style="23" bestFit="1" customWidth="1"/>
    <col min="2824" max="2824" width="6.28515625" style="23" bestFit="1" customWidth="1"/>
    <col min="2825" max="3072" width="35.28515625" style="23"/>
    <col min="3073" max="3073" width="29.28515625" style="23" bestFit="1" customWidth="1"/>
    <col min="3074" max="3074" width="23.85546875" style="23" bestFit="1" customWidth="1"/>
    <col min="3075" max="3075" width="10.140625" style="23" bestFit="1" customWidth="1"/>
    <col min="3076" max="3076" width="36.28515625" style="23" bestFit="1" customWidth="1"/>
    <col min="3077" max="3077" width="4.140625" style="23" bestFit="1" customWidth="1"/>
    <col min="3078" max="3078" width="5.5703125" style="23" bestFit="1" customWidth="1"/>
    <col min="3079" max="3079" width="7.85546875" style="23" bestFit="1" customWidth="1"/>
    <col min="3080" max="3080" width="6.28515625" style="23" bestFit="1" customWidth="1"/>
    <col min="3081" max="3328" width="35.28515625" style="23"/>
    <col min="3329" max="3329" width="29.28515625" style="23" bestFit="1" customWidth="1"/>
    <col min="3330" max="3330" width="23.85546875" style="23" bestFit="1" customWidth="1"/>
    <col min="3331" max="3331" width="10.140625" style="23" bestFit="1" customWidth="1"/>
    <col min="3332" max="3332" width="36.28515625" style="23" bestFit="1" customWidth="1"/>
    <col min="3333" max="3333" width="4.140625" style="23" bestFit="1" customWidth="1"/>
    <col min="3334" max="3334" width="5.5703125" style="23" bestFit="1" customWidth="1"/>
    <col min="3335" max="3335" width="7.85546875" style="23" bestFit="1" customWidth="1"/>
    <col min="3336" max="3336" width="6.28515625" style="23" bestFit="1" customWidth="1"/>
    <col min="3337" max="3584" width="35.28515625" style="23"/>
    <col min="3585" max="3585" width="29.28515625" style="23" bestFit="1" customWidth="1"/>
    <col min="3586" max="3586" width="23.85546875" style="23" bestFit="1" customWidth="1"/>
    <col min="3587" max="3587" width="10.140625" style="23" bestFit="1" customWidth="1"/>
    <col min="3588" max="3588" width="36.28515625" style="23" bestFit="1" customWidth="1"/>
    <col min="3589" max="3589" width="4.140625" style="23" bestFit="1" customWidth="1"/>
    <col min="3590" max="3590" width="5.5703125" style="23" bestFit="1" customWidth="1"/>
    <col min="3591" max="3591" width="7.85546875" style="23" bestFit="1" customWidth="1"/>
    <col min="3592" max="3592" width="6.28515625" style="23" bestFit="1" customWidth="1"/>
    <col min="3593" max="3840" width="35.28515625" style="23"/>
    <col min="3841" max="3841" width="29.28515625" style="23" bestFit="1" customWidth="1"/>
    <col min="3842" max="3842" width="23.85546875" style="23" bestFit="1" customWidth="1"/>
    <col min="3843" max="3843" width="10.140625" style="23" bestFit="1" customWidth="1"/>
    <col min="3844" max="3844" width="36.28515625" style="23" bestFit="1" customWidth="1"/>
    <col min="3845" max="3845" width="4.140625" style="23" bestFit="1" customWidth="1"/>
    <col min="3846" max="3846" width="5.5703125" style="23" bestFit="1" customWidth="1"/>
    <col min="3847" max="3847" width="7.85546875" style="23" bestFit="1" customWidth="1"/>
    <col min="3848" max="3848" width="6.28515625" style="23" bestFit="1" customWidth="1"/>
    <col min="3849" max="4096" width="35.28515625" style="23"/>
    <col min="4097" max="4097" width="29.28515625" style="23" bestFit="1" customWidth="1"/>
    <col min="4098" max="4098" width="23.85546875" style="23" bestFit="1" customWidth="1"/>
    <col min="4099" max="4099" width="10.140625" style="23" bestFit="1" customWidth="1"/>
    <col min="4100" max="4100" width="36.28515625" style="23" bestFit="1" customWidth="1"/>
    <col min="4101" max="4101" width="4.140625" style="23" bestFit="1" customWidth="1"/>
    <col min="4102" max="4102" width="5.5703125" style="23" bestFit="1" customWidth="1"/>
    <col min="4103" max="4103" width="7.85546875" style="23" bestFit="1" customWidth="1"/>
    <col min="4104" max="4104" width="6.28515625" style="23" bestFit="1" customWidth="1"/>
    <col min="4105" max="4352" width="35.28515625" style="23"/>
    <col min="4353" max="4353" width="29.28515625" style="23" bestFit="1" customWidth="1"/>
    <col min="4354" max="4354" width="23.85546875" style="23" bestFit="1" customWidth="1"/>
    <col min="4355" max="4355" width="10.140625" style="23" bestFit="1" customWidth="1"/>
    <col min="4356" max="4356" width="36.28515625" style="23" bestFit="1" customWidth="1"/>
    <col min="4357" max="4357" width="4.140625" style="23" bestFit="1" customWidth="1"/>
    <col min="4358" max="4358" width="5.5703125" style="23" bestFit="1" customWidth="1"/>
    <col min="4359" max="4359" width="7.85546875" style="23" bestFit="1" customWidth="1"/>
    <col min="4360" max="4360" width="6.28515625" style="23" bestFit="1" customWidth="1"/>
    <col min="4361" max="4608" width="35.28515625" style="23"/>
    <col min="4609" max="4609" width="29.28515625" style="23" bestFit="1" customWidth="1"/>
    <col min="4610" max="4610" width="23.85546875" style="23" bestFit="1" customWidth="1"/>
    <col min="4611" max="4611" width="10.140625" style="23" bestFit="1" customWidth="1"/>
    <col min="4612" max="4612" width="36.28515625" style="23" bestFit="1" customWidth="1"/>
    <col min="4613" max="4613" width="4.140625" style="23" bestFit="1" customWidth="1"/>
    <col min="4614" max="4614" width="5.5703125" style="23" bestFit="1" customWidth="1"/>
    <col min="4615" max="4615" width="7.85546875" style="23" bestFit="1" customWidth="1"/>
    <col min="4616" max="4616" width="6.28515625" style="23" bestFit="1" customWidth="1"/>
    <col min="4617" max="4864" width="35.28515625" style="23"/>
    <col min="4865" max="4865" width="29.28515625" style="23" bestFit="1" customWidth="1"/>
    <col min="4866" max="4866" width="23.85546875" style="23" bestFit="1" customWidth="1"/>
    <col min="4867" max="4867" width="10.140625" style="23" bestFit="1" customWidth="1"/>
    <col min="4868" max="4868" width="36.28515625" style="23" bestFit="1" customWidth="1"/>
    <col min="4869" max="4869" width="4.140625" style="23" bestFit="1" customWidth="1"/>
    <col min="4870" max="4870" width="5.5703125" style="23" bestFit="1" customWidth="1"/>
    <col min="4871" max="4871" width="7.85546875" style="23" bestFit="1" customWidth="1"/>
    <col min="4872" max="4872" width="6.28515625" style="23" bestFit="1" customWidth="1"/>
    <col min="4873" max="5120" width="35.28515625" style="23"/>
    <col min="5121" max="5121" width="29.28515625" style="23" bestFit="1" customWidth="1"/>
    <col min="5122" max="5122" width="23.85546875" style="23" bestFit="1" customWidth="1"/>
    <col min="5123" max="5123" width="10.140625" style="23" bestFit="1" customWidth="1"/>
    <col min="5124" max="5124" width="36.28515625" style="23" bestFit="1" customWidth="1"/>
    <col min="5125" max="5125" width="4.140625" style="23" bestFit="1" customWidth="1"/>
    <col min="5126" max="5126" width="5.5703125" style="23" bestFit="1" customWidth="1"/>
    <col min="5127" max="5127" width="7.85546875" style="23" bestFit="1" customWidth="1"/>
    <col min="5128" max="5128" width="6.28515625" style="23" bestFit="1" customWidth="1"/>
    <col min="5129" max="5376" width="35.28515625" style="23"/>
    <col min="5377" max="5377" width="29.28515625" style="23" bestFit="1" customWidth="1"/>
    <col min="5378" max="5378" width="23.85546875" style="23" bestFit="1" customWidth="1"/>
    <col min="5379" max="5379" width="10.140625" style="23" bestFit="1" customWidth="1"/>
    <col min="5380" max="5380" width="36.28515625" style="23" bestFit="1" customWidth="1"/>
    <col min="5381" max="5381" width="4.140625" style="23" bestFit="1" customWidth="1"/>
    <col min="5382" max="5382" width="5.5703125" style="23" bestFit="1" customWidth="1"/>
    <col min="5383" max="5383" width="7.85546875" style="23" bestFit="1" customWidth="1"/>
    <col min="5384" max="5384" width="6.28515625" style="23" bestFit="1" customWidth="1"/>
    <col min="5385" max="5632" width="35.28515625" style="23"/>
    <col min="5633" max="5633" width="29.28515625" style="23" bestFit="1" customWidth="1"/>
    <col min="5634" max="5634" width="23.85546875" style="23" bestFit="1" customWidth="1"/>
    <col min="5635" max="5635" width="10.140625" style="23" bestFit="1" customWidth="1"/>
    <col min="5636" max="5636" width="36.28515625" style="23" bestFit="1" customWidth="1"/>
    <col min="5637" max="5637" width="4.140625" style="23" bestFit="1" customWidth="1"/>
    <col min="5638" max="5638" width="5.5703125" style="23" bestFit="1" customWidth="1"/>
    <col min="5639" max="5639" width="7.85546875" style="23" bestFit="1" customWidth="1"/>
    <col min="5640" max="5640" width="6.28515625" style="23" bestFit="1" customWidth="1"/>
    <col min="5641" max="5888" width="35.28515625" style="23"/>
    <col min="5889" max="5889" width="29.28515625" style="23" bestFit="1" customWidth="1"/>
    <col min="5890" max="5890" width="23.85546875" style="23" bestFit="1" customWidth="1"/>
    <col min="5891" max="5891" width="10.140625" style="23" bestFit="1" customWidth="1"/>
    <col min="5892" max="5892" width="36.28515625" style="23" bestFit="1" customWidth="1"/>
    <col min="5893" max="5893" width="4.140625" style="23" bestFit="1" customWidth="1"/>
    <col min="5894" max="5894" width="5.5703125" style="23" bestFit="1" customWidth="1"/>
    <col min="5895" max="5895" width="7.85546875" style="23" bestFit="1" customWidth="1"/>
    <col min="5896" max="5896" width="6.28515625" style="23" bestFit="1" customWidth="1"/>
    <col min="5897" max="6144" width="35.28515625" style="23"/>
    <col min="6145" max="6145" width="29.28515625" style="23" bestFit="1" customWidth="1"/>
    <col min="6146" max="6146" width="23.85546875" style="23" bestFit="1" customWidth="1"/>
    <col min="6147" max="6147" width="10.140625" style="23" bestFit="1" customWidth="1"/>
    <col min="6148" max="6148" width="36.28515625" style="23" bestFit="1" customWidth="1"/>
    <col min="6149" max="6149" width="4.140625" style="23" bestFit="1" customWidth="1"/>
    <col min="6150" max="6150" width="5.5703125" style="23" bestFit="1" customWidth="1"/>
    <col min="6151" max="6151" width="7.85546875" style="23" bestFit="1" customWidth="1"/>
    <col min="6152" max="6152" width="6.28515625" style="23" bestFit="1" customWidth="1"/>
    <col min="6153" max="6400" width="35.28515625" style="23"/>
    <col min="6401" max="6401" width="29.28515625" style="23" bestFit="1" customWidth="1"/>
    <col min="6402" max="6402" width="23.85546875" style="23" bestFit="1" customWidth="1"/>
    <col min="6403" max="6403" width="10.140625" style="23" bestFit="1" customWidth="1"/>
    <col min="6404" max="6404" width="36.28515625" style="23" bestFit="1" customWidth="1"/>
    <col min="6405" max="6405" width="4.140625" style="23" bestFit="1" customWidth="1"/>
    <col min="6406" max="6406" width="5.5703125" style="23" bestFit="1" customWidth="1"/>
    <col min="6407" max="6407" width="7.85546875" style="23" bestFit="1" customWidth="1"/>
    <col min="6408" max="6408" width="6.28515625" style="23" bestFit="1" customWidth="1"/>
    <col min="6409" max="6656" width="35.28515625" style="23"/>
    <col min="6657" max="6657" width="29.28515625" style="23" bestFit="1" customWidth="1"/>
    <col min="6658" max="6658" width="23.85546875" style="23" bestFit="1" customWidth="1"/>
    <col min="6659" max="6659" width="10.140625" style="23" bestFit="1" customWidth="1"/>
    <col min="6660" max="6660" width="36.28515625" style="23" bestFit="1" customWidth="1"/>
    <col min="6661" max="6661" width="4.140625" style="23" bestFit="1" customWidth="1"/>
    <col min="6662" max="6662" width="5.5703125" style="23" bestFit="1" customWidth="1"/>
    <col min="6663" max="6663" width="7.85546875" style="23" bestFit="1" customWidth="1"/>
    <col min="6664" max="6664" width="6.28515625" style="23" bestFit="1" customWidth="1"/>
    <col min="6665" max="6912" width="35.28515625" style="23"/>
    <col min="6913" max="6913" width="29.28515625" style="23" bestFit="1" customWidth="1"/>
    <col min="6914" max="6914" width="23.85546875" style="23" bestFit="1" customWidth="1"/>
    <col min="6915" max="6915" width="10.140625" style="23" bestFit="1" customWidth="1"/>
    <col min="6916" max="6916" width="36.28515625" style="23" bestFit="1" customWidth="1"/>
    <col min="6917" max="6917" width="4.140625" style="23" bestFit="1" customWidth="1"/>
    <col min="6918" max="6918" width="5.5703125" style="23" bestFit="1" customWidth="1"/>
    <col min="6919" max="6919" width="7.85546875" style="23" bestFit="1" customWidth="1"/>
    <col min="6920" max="6920" width="6.28515625" style="23" bestFit="1" customWidth="1"/>
    <col min="6921" max="7168" width="35.28515625" style="23"/>
    <col min="7169" max="7169" width="29.28515625" style="23" bestFit="1" customWidth="1"/>
    <col min="7170" max="7170" width="23.85546875" style="23" bestFit="1" customWidth="1"/>
    <col min="7171" max="7171" width="10.140625" style="23" bestFit="1" customWidth="1"/>
    <col min="7172" max="7172" width="36.28515625" style="23" bestFit="1" customWidth="1"/>
    <col min="7173" max="7173" width="4.140625" style="23" bestFit="1" customWidth="1"/>
    <col min="7174" max="7174" width="5.5703125" style="23" bestFit="1" customWidth="1"/>
    <col min="7175" max="7175" width="7.85546875" style="23" bestFit="1" customWidth="1"/>
    <col min="7176" max="7176" width="6.28515625" style="23" bestFit="1" customWidth="1"/>
    <col min="7177" max="7424" width="35.28515625" style="23"/>
    <col min="7425" max="7425" width="29.28515625" style="23" bestFit="1" customWidth="1"/>
    <col min="7426" max="7426" width="23.85546875" style="23" bestFit="1" customWidth="1"/>
    <col min="7427" max="7427" width="10.140625" style="23" bestFit="1" customWidth="1"/>
    <col min="7428" max="7428" width="36.28515625" style="23" bestFit="1" customWidth="1"/>
    <col min="7429" max="7429" width="4.140625" style="23" bestFit="1" customWidth="1"/>
    <col min="7430" max="7430" width="5.5703125" style="23" bestFit="1" customWidth="1"/>
    <col min="7431" max="7431" width="7.85546875" style="23" bestFit="1" customWidth="1"/>
    <col min="7432" max="7432" width="6.28515625" style="23" bestFit="1" customWidth="1"/>
    <col min="7433" max="7680" width="35.28515625" style="23"/>
    <col min="7681" max="7681" width="29.28515625" style="23" bestFit="1" customWidth="1"/>
    <col min="7682" max="7682" width="23.85546875" style="23" bestFit="1" customWidth="1"/>
    <col min="7683" max="7683" width="10.140625" style="23" bestFit="1" customWidth="1"/>
    <col min="7684" max="7684" width="36.28515625" style="23" bestFit="1" customWidth="1"/>
    <col min="7685" max="7685" width="4.140625" style="23" bestFit="1" customWidth="1"/>
    <col min="7686" max="7686" width="5.5703125" style="23" bestFit="1" customWidth="1"/>
    <col min="7687" max="7687" width="7.85546875" style="23" bestFit="1" customWidth="1"/>
    <col min="7688" max="7688" width="6.28515625" style="23" bestFit="1" customWidth="1"/>
    <col min="7689" max="7936" width="35.28515625" style="23"/>
    <col min="7937" max="7937" width="29.28515625" style="23" bestFit="1" customWidth="1"/>
    <col min="7938" max="7938" width="23.85546875" style="23" bestFit="1" customWidth="1"/>
    <col min="7939" max="7939" width="10.140625" style="23" bestFit="1" customWidth="1"/>
    <col min="7940" max="7940" width="36.28515625" style="23" bestFit="1" customWidth="1"/>
    <col min="7941" max="7941" width="4.140625" style="23" bestFit="1" customWidth="1"/>
    <col min="7942" max="7942" width="5.5703125" style="23" bestFit="1" customWidth="1"/>
    <col min="7943" max="7943" width="7.85546875" style="23" bestFit="1" customWidth="1"/>
    <col min="7944" max="7944" width="6.28515625" style="23" bestFit="1" customWidth="1"/>
    <col min="7945" max="8192" width="35.28515625" style="23"/>
    <col min="8193" max="8193" width="29.28515625" style="23" bestFit="1" customWidth="1"/>
    <col min="8194" max="8194" width="23.85546875" style="23" bestFit="1" customWidth="1"/>
    <col min="8195" max="8195" width="10.140625" style="23" bestFit="1" customWidth="1"/>
    <col min="8196" max="8196" width="36.28515625" style="23" bestFit="1" customWidth="1"/>
    <col min="8197" max="8197" width="4.140625" style="23" bestFit="1" customWidth="1"/>
    <col min="8198" max="8198" width="5.5703125" style="23" bestFit="1" customWidth="1"/>
    <col min="8199" max="8199" width="7.85546875" style="23" bestFit="1" customWidth="1"/>
    <col min="8200" max="8200" width="6.28515625" style="23" bestFit="1" customWidth="1"/>
    <col min="8201" max="8448" width="35.28515625" style="23"/>
    <col min="8449" max="8449" width="29.28515625" style="23" bestFit="1" customWidth="1"/>
    <col min="8450" max="8450" width="23.85546875" style="23" bestFit="1" customWidth="1"/>
    <col min="8451" max="8451" width="10.140625" style="23" bestFit="1" customWidth="1"/>
    <col min="8452" max="8452" width="36.28515625" style="23" bestFit="1" customWidth="1"/>
    <col min="8453" max="8453" width="4.140625" style="23" bestFit="1" customWidth="1"/>
    <col min="8454" max="8454" width="5.5703125" style="23" bestFit="1" customWidth="1"/>
    <col min="8455" max="8455" width="7.85546875" style="23" bestFit="1" customWidth="1"/>
    <col min="8456" max="8456" width="6.28515625" style="23" bestFit="1" customWidth="1"/>
    <col min="8457" max="8704" width="35.28515625" style="23"/>
    <col min="8705" max="8705" width="29.28515625" style="23" bestFit="1" customWidth="1"/>
    <col min="8706" max="8706" width="23.85546875" style="23" bestFit="1" customWidth="1"/>
    <col min="8707" max="8707" width="10.140625" style="23" bestFit="1" customWidth="1"/>
    <col min="8708" max="8708" width="36.28515625" style="23" bestFit="1" customWidth="1"/>
    <col min="8709" max="8709" width="4.140625" style="23" bestFit="1" customWidth="1"/>
    <col min="8710" max="8710" width="5.5703125" style="23" bestFit="1" customWidth="1"/>
    <col min="8711" max="8711" width="7.85546875" style="23" bestFit="1" customWidth="1"/>
    <col min="8712" max="8712" width="6.28515625" style="23" bestFit="1" customWidth="1"/>
    <col min="8713" max="8960" width="35.28515625" style="23"/>
    <col min="8961" max="8961" width="29.28515625" style="23" bestFit="1" customWidth="1"/>
    <col min="8962" max="8962" width="23.85546875" style="23" bestFit="1" customWidth="1"/>
    <col min="8963" max="8963" width="10.140625" style="23" bestFit="1" customWidth="1"/>
    <col min="8964" max="8964" width="36.28515625" style="23" bestFit="1" customWidth="1"/>
    <col min="8965" max="8965" width="4.140625" style="23" bestFit="1" customWidth="1"/>
    <col min="8966" max="8966" width="5.5703125" style="23" bestFit="1" customWidth="1"/>
    <col min="8967" max="8967" width="7.85546875" style="23" bestFit="1" customWidth="1"/>
    <col min="8968" max="8968" width="6.28515625" style="23" bestFit="1" customWidth="1"/>
    <col min="8969" max="9216" width="35.28515625" style="23"/>
    <col min="9217" max="9217" width="29.28515625" style="23" bestFit="1" customWidth="1"/>
    <col min="9218" max="9218" width="23.85546875" style="23" bestFit="1" customWidth="1"/>
    <col min="9219" max="9219" width="10.140625" style="23" bestFit="1" customWidth="1"/>
    <col min="9220" max="9220" width="36.28515625" style="23" bestFit="1" customWidth="1"/>
    <col min="9221" max="9221" width="4.140625" style="23" bestFit="1" customWidth="1"/>
    <col min="9222" max="9222" width="5.5703125" style="23" bestFit="1" customWidth="1"/>
    <col min="9223" max="9223" width="7.85546875" style="23" bestFit="1" customWidth="1"/>
    <col min="9224" max="9224" width="6.28515625" style="23" bestFit="1" customWidth="1"/>
    <col min="9225" max="9472" width="35.28515625" style="23"/>
    <col min="9473" max="9473" width="29.28515625" style="23" bestFit="1" customWidth="1"/>
    <col min="9474" max="9474" width="23.85546875" style="23" bestFit="1" customWidth="1"/>
    <col min="9475" max="9475" width="10.140625" style="23" bestFit="1" customWidth="1"/>
    <col min="9476" max="9476" width="36.28515625" style="23" bestFit="1" customWidth="1"/>
    <col min="9477" max="9477" width="4.140625" style="23" bestFit="1" customWidth="1"/>
    <col min="9478" max="9478" width="5.5703125" style="23" bestFit="1" customWidth="1"/>
    <col min="9479" max="9479" width="7.85546875" style="23" bestFit="1" customWidth="1"/>
    <col min="9480" max="9480" width="6.28515625" style="23" bestFit="1" customWidth="1"/>
    <col min="9481" max="9728" width="35.28515625" style="23"/>
    <col min="9729" max="9729" width="29.28515625" style="23" bestFit="1" customWidth="1"/>
    <col min="9730" max="9730" width="23.85546875" style="23" bestFit="1" customWidth="1"/>
    <col min="9731" max="9731" width="10.140625" style="23" bestFit="1" customWidth="1"/>
    <col min="9732" max="9732" width="36.28515625" style="23" bestFit="1" customWidth="1"/>
    <col min="9733" max="9733" width="4.140625" style="23" bestFit="1" customWidth="1"/>
    <col min="9734" max="9734" width="5.5703125" style="23" bestFit="1" customWidth="1"/>
    <col min="9735" max="9735" width="7.85546875" style="23" bestFit="1" customWidth="1"/>
    <col min="9736" max="9736" width="6.28515625" style="23" bestFit="1" customWidth="1"/>
    <col min="9737" max="9984" width="35.28515625" style="23"/>
    <col min="9985" max="9985" width="29.28515625" style="23" bestFit="1" customWidth="1"/>
    <col min="9986" max="9986" width="23.85546875" style="23" bestFit="1" customWidth="1"/>
    <col min="9987" max="9987" width="10.140625" style="23" bestFit="1" customWidth="1"/>
    <col min="9988" max="9988" width="36.28515625" style="23" bestFit="1" customWidth="1"/>
    <col min="9989" max="9989" width="4.140625" style="23" bestFit="1" customWidth="1"/>
    <col min="9990" max="9990" width="5.5703125" style="23" bestFit="1" customWidth="1"/>
    <col min="9991" max="9991" width="7.85546875" style="23" bestFit="1" customWidth="1"/>
    <col min="9992" max="9992" width="6.28515625" style="23" bestFit="1" customWidth="1"/>
    <col min="9993" max="10240" width="35.28515625" style="23"/>
    <col min="10241" max="10241" width="29.28515625" style="23" bestFit="1" customWidth="1"/>
    <col min="10242" max="10242" width="23.85546875" style="23" bestFit="1" customWidth="1"/>
    <col min="10243" max="10243" width="10.140625" style="23" bestFit="1" customWidth="1"/>
    <col min="10244" max="10244" width="36.28515625" style="23" bestFit="1" customWidth="1"/>
    <col min="10245" max="10245" width="4.140625" style="23" bestFit="1" customWidth="1"/>
    <col min="10246" max="10246" width="5.5703125" style="23" bestFit="1" customWidth="1"/>
    <col min="10247" max="10247" width="7.85546875" style="23" bestFit="1" customWidth="1"/>
    <col min="10248" max="10248" width="6.28515625" style="23" bestFit="1" customWidth="1"/>
    <col min="10249" max="10496" width="35.28515625" style="23"/>
    <col min="10497" max="10497" width="29.28515625" style="23" bestFit="1" customWidth="1"/>
    <col min="10498" max="10498" width="23.85546875" style="23" bestFit="1" customWidth="1"/>
    <col min="10499" max="10499" width="10.140625" style="23" bestFit="1" customWidth="1"/>
    <col min="10500" max="10500" width="36.28515625" style="23" bestFit="1" customWidth="1"/>
    <col min="10501" max="10501" width="4.140625" style="23" bestFit="1" customWidth="1"/>
    <col min="10502" max="10502" width="5.5703125" style="23" bestFit="1" customWidth="1"/>
    <col min="10503" max="10503" width="7.85546875" style="23" bestFit="1" customWidth="1"/>
    <col min="10504" max="10504" width="6.28515625" style="23" bestFit="1" customWidth="1"/>
    <col min="10505" max="10752" width="35.28515625" style="23"/>
    <col min="10753" max="10753" width="29.28515625" style="23" bestFit="1" customWidth="1"/>
    <col min="10754" max="10754" width="23.85546875" style="23" bestFit="1" customWidth="1"/>
    <col min="10755" max="10755" width="10.140625" style="23" bestFit="1" customWidth="1"/>
    <col min="10756" max="10756" width="36.28515625" style="23" bestFit="1" customWidth="1"/>
    <col min="10757" max="10757" width="4.140625" style="23" bestFit="1" customWidth="1"/>
    <col min="10758" max="10758" width="5.5703125" style="23" bestFit="1" customWidth="1"/>
    <col min="10759" max="10759" width="7.85546875" style="23" bestFit="1" customWidth="1"/>
    <col min="10760" max="10760" width="6.28515625" style="23" bestFit="1" customWidth="1"/>
    <col min="10761" max="11008" width="35.28515625" style="23"/>
    <col min="11009" max="11009" width="29.28515625" style="23" bestFit="1" customWidth="1"/>
    <col min="11010" max="11010" width="23.85546875" style="23" bestFit="1" customWidth="1"/>
    <col min="11011" max="11011" width="10.140625" style="23" bestFit="1" customWidth="1"/>
    <col min="11012" max="11012" width="36.28515625" style="23" bestFit="1" customWidth="1"/>
    <col min="11013" max="11013" width="4.140625" style="23" bestFit="1" customWidth="1"/>
    <col min="11014" max="11014" width="5.5703125" style="23" bestFit="1" customWidth="1"/>
    <col min="11015" max="11015" width="7.85546875" style="23" bestFit="1" customWidth="1"/>
    <col min="11016" max="11016" width="6.28515625" style="23" bestFit="1" customWidth="1"/>
    <col min="11017" max="11264" width="35.28515625" style="23"/>
    <col min="11265" max="11265" width="29.28515625" style="23" bestFit="1" customWidth="1"/>
    <col min="11266" max="11266" width="23.85546875" style="23" bestFit="1" customWidth="1"/>
    <col min="11267" max="11267" width="10.140625" style="23" bestFit="1" customWidth="1"/>
    <col min="11268" max="11268" width="36.28515625" style="23" bestFit="1" customWidth="1"/>
    <col min="11269" max="11269" width="4.140625" style="23" bestFit="1" customWidth="1"/>
    <col min="11270" max="11270" width="5.5703125" style="23" bestFit="1" customWidth="1"/>
    <col min="11271" max="11271" width="7.85546875" style="23" bestFit="1" customWidth="1"/>
    <col min="11272" max="11272" width="6.28515625" style="23" bestFit="1" customWidth="1"/>
    <col min="11273" max="11520" width="35.28515625" style="23"/>
    <col min="11521" max="11521" width="29.28515625" style="23" bestFit="1" customWidth="1"/>
    <col min="11522" max="11522" width="23.85546875" style="23" bestFit="1" customWidth="1"/>
    <col min="11523" max="11523" width="10.140625" style="23" bestFit="1" customWidth="1"/>
    <col min="11524" max="11524" width="36.28515625" style="23" bestFit="1" customWidth="1"/>
    <col min="11525" max="11525" width="4.140625" style="23" bestFit="1" customWidth="1"/>
    <col min="11526" max="11526" width="5.5703125" style="23" bestFit="1" customWidth="1"/>
    <col min="11527" max="11527" width="7.85546875" style="23" bestFit="1" customWidth="1"/>
    <col min="11528" max="11528" width="6.28515625" style="23" bestFit="1" customWidth="1"/>
    <col min="11529" max="11776" width="35.28515625" style="23"/>
    <col min="11777" max="11777" width="29.28515625" style="23" bestFit="1" customWidth="1"/>
    <col min="11778" max="11778" width="23.85546875" style="23" bestFit="1" customWidth="1"/>
    <col min="11779" max="11779" width="10.140625" style="23" bestFit="1" customWidth="1"/>
    <col min="11780" max="11780" width="36.28515625" style="23" bestFit="1" customWidth="1"/>
    <col min="11781" max="11781" width="4.140625" style="23" bestFit="1" customWidth="1"/>
    <col min="11782" max="11782" width="5.5703125" style="23" bestFit="1" customWidth="1"/>
    <col min="11783" max="11783" width="7.85546875" style="23" bestFit="1" customWidth="1"/>
    <col min="11784" max="11784" width="6.28515625" style="23" bestFit="1" customWidth="1"/>
    <col min="11785" max="12032" width="35.28515625" style="23"/>
    <col min="12033" max="12033" width="29.28515625" style="23" bestFit="1" customWidth="1"/>
    <col min="12034" max="12034" width="23.85546875" style="23" bestFit="1" customWidth="1"/>
    <col min="12035" max="12035" width="10.140625" style="23" bestFit="1" customWidth="1"/>
    <col min="12036" max="12036" width="36.28515625" style="23" bestFit="1" customWidth="1"/>
    <col min="12037" max="12037" width="4.140625" style="23" bestFit="1" customWidth="1"/>
    <col min="12038" max="12038" width="5.5703125" style="23" bestFit="1" customWidth="1"/>
    <col min="12039" max="12039" width="7.85546875" style="23" bestFit="1" customWidth="1"/>
    <col min="12040" max="12040" width="6.28515625" style="23" bestFit="1" customWidth="1"/>
    <col min="12041" max="12288" width="35.28515625" style="23"/>
    <col min="12289" max="12289" width="29.28515625" style="23" bestFit="1" customWidth="1"/>
    <col min="12290" max="12290" width="23.85546875" style="23" bestFit="1" customWidth="1"/>
    <col min="12291" max="12291" width="10.140625" style="23" bestFit="1" customWidth="1"/>
    <col min="12292" max="12292" width="36.28515625" style="23" bestFit="1" customWidth="1"/>
    <col min="12293" max="12293" width="4.140625" style="23" bestFit="1" customWidth="1"/>
    <col min="12294" max="12294" width="5.5703125" style="23" bestFit="1" customWidth="1"/>
    <col min="12295" max="12295" width="7.85546875" style="23" bestFit="1" customWidth="1"/>
    <col min="12296" max="12296" width="6.28515625" style="23" bestFit="1" customWidth="1"/>
    <col min="12297" max="12544" width="35.28515625" style="23"/>
    <col min="12545" max="12545" width="29.28515625" style="23" bestFit="1" customWidth="1"/>
    <col min="12546" max="12546" width="23.85546875" style="23" bestFit="1" customWidth="1"/>
    <col min="12547" max="12547" width="10.140625" style="23" bestFit="1" customWidth="1"/>
    <col min="12548" max="12548" width="36.28515625" style="23" bestFit="1" customWidth="1"/>
    <col min="12549" max="12549" width="4.140625" style="23" bestFit="1" customWidth="1"/>
    <col min="12550" max="12550" width="5.5703125" style="23" bestFit="1" customWidth="1"/>
    <col min="12551" max="12551" width="7.85546875" style="23" bestFit="1" customWidth="1"/>
    <col min="12552" max="12552" width="6.28515625" style="23" bestFit="1" customWidth="1"/>
    <col min="12553" max="12800" width="35.28515625" style="23"/>
    <col min="12801" max="12801" width="29.28515625" style="23" bestFit="1" customWidth="1"/>
    <col min="12802" max="12802" width="23.85546875" style="23" bestFit="1" customWidth="1"/>
    <col min="12803" max="12803" width="10.140625" style="23" bestFit="1" customWidth="1"/>
    <col min="12804" max="12804" width="36.28515625" style="23" bestFit="1" customWidth="1"/>
    <col min="12805" max="12805" width="4.140625" style="23" bestFit="1" customWidth="1"/>
    <col min="12806" max="12806" width="5.5703125" style="23" bestFit="1" customWidth="1"/>
    <col min="12807" max="12807" width="7.85546875" style="23" bestFit="1" customWidth="1"/>
    <col min="12808" max="12808" width="6.28515625" style="23" bestFit="1" customWidth="1"/>
    <col min="12809" max="13056" width="35.28515625" style="23"/>
    <col min="13057" max="13057" width="29.28515625" style="23" bestFit="1" customWidth="1"/>
    <col min="13058" max="13058" width="23.85546875" style="23" bestFit="1" customWidth="1"/>
    <col min="13059" max="13059" width="10.140625" style="23" bestFit="1" customWidth="1"/>
    <col min="13060" max="13060" width="36.28515625" style="23" bestFit="1" customWidth="1"/>
    <col min="13061" max="13061" width="4.140625" style="23" bestFit="1" customWidth="1"/>
    <col min="13062" max="13062" width="5.5703125" style="23" bestFit="1" customWidth="1"/>
    <col min="13063" max="13063" width="7.85546875" style="23" bestFit="1" customWidth="1"/>
    <col min="13064" max="13064" width="6.28515625" style="23" bestFit="1" customWidth="1"/>
    <col min="13065" max="13312" width="35.28515625" style="23"/>
    <col min="13313" max="13313" width="29.28515625" style="23" bestFit="1" customWidth="1"/>
    <col min="13314" max="13314" width="23.85546875" style="23" bestFit="1" customWidth="1"/>
    <col min="13315" max="13315" width="10.140625" style="23" bestFit="1" customWidth="1"/>
    <col min="13316" max="13316" width="36.28515625" style="23" bestFit="1" customWidth="1"/>
    <col min="13317" max="13317" width="4.140625" style="23" bestFit="1" customWidth="1"/>
    <col min="13318" max="13318" width="5.5703125" style="23" bestFit="1" customWidth="1"/>
    <col min="13319" max="13319" width="7.85546875" style="23" bestFit="1" customWidth="1"/>
    <col min="13320" max="13320" width="6.28515625" style="23" bestFit="1" customWidth="1"/>
    <col min="13321" max="13568" width="35.28515625" style="23"/>
    <col min="13569" max="13569" width="29.28515625" style="23" bestFit="1" customWidth="1"/>
    <col min="13570" max="13570" width="23.85546875" style="23" bestFit="1" customWidth="1"/>
    <col min="13571" max="13571" width="10.140625" style="23" bestFit="1" customWidth="1"/>
    <col min="13572" max="13572" width="36.28515625" style="23" bestFit="1" customWidth="1"/>
    <col min="13573" max="13573" width="4.140625" style="23" bestFit="1" customWidth="1"/>
    <col min="13574" max="13574" width="5.5703125" style="23" bestFit="1" customWidth="1"/>
    <col min="13575" max="13575" width="7.85546875" style="23" bestFit="1" customWidth="1"/>
    <col min="13576" max="13576" width="6.28515625" style="23" bestFit="1" customWidth="1"/>
    <col min="13577" max="13824" width="35.28515625" style="23"/>
    <col min="13825" max="13825" width="29.28515625" style="23" bestFit="1" customWidth="1"/>
    <col min="13826" max="13826" width="23.85546875" style="23" bestFit="1" customWidth="1"/>
    <col min="13827" max="13827" width="10.140625" style="23" bestFit="1" customWidth="1"/>
    <col min="13828" max="13828" width="36.28515625" style="23" bestFit="1" customWidth="1"/>
    <col min="13829" max="13829" width="4.140625" style="23" bestFit="1" customWidth="1"/>
    <col min="13830" max="13830" width="5.5703125" style="23" bestFit="1" customWidth="1"/>
    <col min="13831" max="13831" width="7.85546875" style="23" bestFit="1" customWidth="1"/>
    <col min="13832" max="13832" width="6.28515625" style="23" bestFit="1" customWidth="1"/>
    <col min="13833" max="14080" width="35.28515625" style="23"/>
    <col min="14081" max="14081" width="29.28515625" style="23" bestFit="1" customWidth="1"/>
    <col min="14082" max="14082" width="23.85546875" style="23" bestFit="1" customWidth="1"/>
    <col min="14083" max="14083" width="10.140625" style="23" bestFit="1" customWidth="1"/>
    <col min="14084" max="14084" width="36.28515625" style="23" bestFit="1" customWidth="1"/>
    <col min="14085" max="14085" width="4.140625" style="23" bestFit="1" customWidth="1"/>
    <col min="14086" max="14086" width="5.5703125" style="23" bestFit="1" customWidth="1"/>
    <col min="14087" max="14087" width="7.85546875" style="23" bestFit="1" customWidth="1"/>
    <col min="14088" max="14088" width="6.28515625" style="23" bestFit="1" customWidth="1"/>
    <col min="14089" max="14336" width="35.28515625" style="23"/>
    <col min="14337" max="14337" width="29.28515625" style="23" bestFit="1" customWidth="1"/>
    <col min="14338" max="14338" width="23.85546875" style="23" bestFit="1" customWidth="1"/>
    <col min="14339" max="14339" width="10.140625" style="23" bestFit="1" customWidth="1"/>
    <col min="14340" max="14340" width="36.28515625" style="23" bestFit="1" customWidth="1"/>
    <col min="14341" max="14341" width="4.140625" style="23" bestFit="1" customWidth="1"/>
    <col min="14342" max="14342" width="5.5703125" style="23" bestFit="1" customWidth="1"/>
    <col min="14343" max="14343" width="7.85546875" style="23" bestFit="1" customWidth="1"/>
    <col min="14344" max="14344" width="6.28515625" style="23" bestFit="1" customWidth="1"/>
    <col min="14345" max="14592" width="35.28515625" style="23"/>
    <col min="14593" max="14593" width="29.28515625" style="23" bestFit="1" customWidth="1"/>
    <col min="14594" max="14594" width="23.85546875" style="23" bestFit="1" customWidth="1"/>
    <col min="14595" max="14595" width="10.140625" style="23" bestFit="1" customWidth="1"/>
    <col min="14596" max="14596" width="36.28515625" style="23" bestFit="1" customWidth="1"/>
    <col min="14597" max="14597" width="4.140625" style="23" bestFit="1" customWidth="1"/>
    <col min="14598" max="14598" width="5.5703125" style="23" bestFit="1" customWidth="1"/>
    <col min="14599" max="14599" width="7.85546875" style="23" bestFit="1" customWidth="1"/>
    <col min="14600" max="14600" width="6.28515625" style="23" bestFit="1" customWidth="1"/>
    <col min="14601" max="14848" width="35.28515625" style="23"/>
    <col min="14849" max="14849" width="29.28515625" style="23" bestFit="1" customWidth="1"/>
    <col min="14850" max="14850" width="23.85546875" style="23" bestFit="1" customWidth="1"/>
    <col min="14851" max="14851" width="10.140625" style="23" bestFit="1" customWidth="1"/>
    <col min="14852" max="14852" width="36.28515625" style="23" bestFit="1" customWidth="1"/>
    <col min="14853" max="14853" width="4.140625" style="23" bestFit="1" customWidth="1"/>
    <col min="14854" max="14854" width="5.5703125" style="23" bestFit="1" customWidth="1"/>
    <col min="14855" max="14855" width="7.85546875" style="23" bestFit="1" customWidth="1"/>
    <col min="14856" max="14856" width="6.28515625" style="23" bestFit="1" customWidth="1"/>
    <col min="14857" max="15104" width="35.28515625" style="23"/>
    <col min="15105" max="15105" width="29.28515625" style="23" bestFit="1" customWidth="1"/>
    <col min="15106" max="15106" width="23.85546875" style="23" bestFit="1" customWidth="1"/>
    <col min="15107" max="15107" width="10.140625" style="23" bestFit="1" customWidth="1"/>
    <col min="15108" max="15108" width="36.28515625" style="23" bestFit="1" customWidth="1"/>
    <col min="15109" max="15109" width="4.140625" style="23" bestFit="1" customWidth="1"/>
    <col min="15110" max="15110" width="5.5703125" style="23" bestFit="1" customWidth="1"/>
    <col min="15111" max="15111" width="7.85546875" style="23" bestFit="1" customWidth="1"/>
    <col min="15112" max="15112" width="6.28515625" style="23" bestFit="1" customWidth="1"/>
    <col min="15113" max="15360" width="35.28515625" style="23"/>
    <col min="15361" max="15361" width="29.28515625" style="23" bestFit="1" customWidth="1"/>
    <col min="15362" max="15362" width="23.85546875" style="23" bestFit="1" customWidth="1"/>
    <col min="15363" max="15363" width="10.140625" style="23" bestFit="1" customWidth="1"/>
    <col min="15364" max="15364" width="36.28515625" style="23" bestFit="1" customWidth="1"/>
    <col min="15365" max="15365" width="4.140625" style="23" bestFit="1" customWidth="1"/>
    <col min="15366" max="15366" width="5.5703125" style="23" bestFit="1" customWidth="1"/>
    <col min="15367" max="15367" width="7.85546875" style="23" bestFit="1" customWidth="1"/>
    <col min="15368" max="15368" width="6.28515625" style="23" bestFit="1" customWidth="1"/>
    <col min="15369" max="15616" width="35.28515625" style="23"/>
    <col min="15617" max="15617" width="29.28515625" style="23" bestFit="1" customWidth="1"/>
    <col min="15618" max="15618" width="23.85546875" style="23" bestFit="1" customWidth="1"/>
    <col min="15619" max="15619" width="10.140625" style="23" bestFit="1" customWidth="1"/>
    <col min="15620" max="15620" width="36.28515625" style="23" bestFit="1" customWidth="1"/>
    <col min="15621" max="15621" width="4.140625" style="23" bestFit="1" customWidth="1"/>
    <col min="15622" max="15622" width="5.5703125" style="23" bestFit="1" customWidth="1"/>
    <col min="15623" max="15623" width="7.85546875" style="23" bestFit="1" customWidth="1"/>
    <col min="15624" max="15624" width="6.28515625" style="23" bestFit="1" customWidth="1"/>
    <col min="15625" max="15872" width="35.28515625" style="23"/>
    <col min="15873" max="15873" width="29.28515625" style="23" bestFit="1" customWidth="1"/>
    <col min="15874" max="15874" width="23.85546875" style="23" bestFit="1" customWidth="1"/>
    <col min="15875" max="15875" width="10.140625" style="23" bestFit="1" customWidth="1"/>
    <col min="15876" max="15876" width="36.28515625" style="23" bestFit="1" customWidth="1"/>
    <col min="15877" max="15877" width="4.140625" style="23" bestFit="1" customWidth="1"/>
    <col min="15878" max="15878" width="5.5703125" style="23" bestFit="1" customWidth="1"/>
    <col min="15879" max="15879" width="7.85546875" style="23" bestFit="1" customWidth="1"/>
    <col min="15880" max="15880" width="6.28515625" style="23" bestFit="1" customWidth="1"/>
    <col min="15881" max="16128" width="35.28515625" style="23"/>
    <col min="16129" max="16129" width="29.28515625" style="23" bestFit="1" customWidth="1"/>
    <col min="16130" max="16130" width="23.85546875" style="23" bestFit="1" customWidth="1"/>
    <col min="16131" max="16131" width="10.140625" style="23" bestFit="1" customWidth="1"/>
    <col min="16132" max="16132" width="36.28515625" style="23" bestFit="1" customWidth="1"/>
    <col min="16133" max="16133" width="4.140625" style="23" bestFit="1" customWidth="1"/>
    <col min="16134" max="16134" width="5.5703125" style="23" bestFit="1" customWidth="1"/>
    <col min="16135" max="16135" width="7.85546875" style="23" bestFit="1" customWidth="1"/>
    <col min="16136" max="16136" width="6.28515625" style="23" bestFit="1" customWidth="1"/>
    <col min="16137" max="16384" width="35.28515625" style="23"/>
  </cols>
  <sheetData>
    <row r="2" spans="1:8" x14ac:dyDescent="0.2">
      <c r="C2" s="36"/>
      <c r="D2" s="37"/>
      <c r="E2" s="36"/>
    </row>
    <row r="3" spans="1:8" ht="15.75" x14ac:dyDescent="0.2">
      <c r="A3" s="69" t="s">
        <v>65</v>
      </c>
      <c r="B3" s="69"/>
      <c r="C3" s="69"/>
      <c r="D3" s="69"/>
      <c r="E3" s="69"/>
      <c r="F3" s="69"/>
      <c r="G3" s="69"/>
      <c r="H3" s="69"/>
    </row>
    <row r="4" spans="1:8" x14ac:dyDescent="0.2">
      <c r="C4" s="36"/>
      <c r="D4" s="37"/>
      <c r="E4" s="36"/>
    </row>
    <row r="5" spans="1:8" ht="12.75" x14ac:dyDescent="0.2">
      <c r="A5" s="70" t="s">
        <v>218</v>
      </c>
      <c r="B5" s="71"/>
      <c r="C5" s="71"/>
      <c r="D5" s="71"/>
      <c r="E5" s="71"/>
      <c r="F5" s="71"/>
      <c r="G5" s="71"/>
      <c r="H5" s="71"/>
    </row>
    <row r="6" spans="1:8" x14ac:dyDescent="0.2">
      <c r="C6" s="36"/>
      <c r="D6" s="37"/>
      <c r="E6" s="36"/>
    </row>
    <row r="7" spans="1:8" x14ac:dyDescent="0.2">
      <c r="C7" s="36"/>
      <c r="D7" s="37"/>
      <c r="E7" s="36"/>
    </row>
    <row r="8" spans="1:8" x14ac:dyDescent="0.2">
      <c r="C8" s="36"/>
      <c r="D8" s="37"/>
      <c r="E8" s="36"/>
    </row>
    <row r="9" spans="1:8" x14ac:dyDescent="0.2">
      <c r="C9" s="36"/>
      <c r="D9" s="37"/>
      <c r="E9" s="36"/>
    </row>
    <row r="10" spans="1:8" x14ac:dyDescent="0.2">
      <c r="A10" s="27" t="s">
        <v>67</v>
      </c>
      <c r="B10" s="28" t="s">
        <v>68</v>
      </c>
      <c r="C10" s="27" t="s">
        <v>69</v>
      </c>
      <c r="D10" s="38" t="s">
        <v>70</v>
      </c>
      <c r="E10" s="27" t="s">
        <v>71</v>
      </c>
      <c r="F10" s="27" t="s">
        <v>72</v>
      </c>
      <c r="G10" s="27" t="s">
        <v>73</v>
      </c>
      <c r="H10" s="27" t="s">
        <v>74</v>
      </c>
    </row>
    <row r="11" spans="1:8" x14ac:dyDescent="0.2">
      <c r="A11" s="75" t="s">
        <v>219</v>
      </c>
      <c r="B11" s="76"/>
      <c r="C11" s="76"/>
      <c r="D11" s="76"/>
      <c r="E11" s="76"/>
      <c r="F11" s="76"/>
      <c r="G11" s="76"/>
      <c r="H11" s="77"/>
    </row>
    <row r="12" spans="1:8" x14ac:dyDescent="0.2">
      <c r="A12" s="29" t="s">
        <v>1</v>
      </c>
      <c r="B12" s="30" t="s">
        <v>76</v>
      </c>
      <c r="C12" s="31" t="s">
        <v>77</v>
      </c>
      <c r="D12" s="30" t="s">
        <v>78</v>
      </c>
      <c r="E12" s="31" t="s">
        <v>79</v>
      </c>
      <c r="F12" s="32">
        <v>1</v>
      </c>
      <c r="G12" s="32">
        <v>7</v>
      </c>
      <c r="H12" s="32">
        <f t="shared" ref="H12:H45" si="0">F12+G12-1</f>
        <v>7</v>
      </c>
    </row>
    <row r="13" spans="1:8" x14ac:dyDescent="0.2">
      <c r="A13" s="29" t="s">
        <v>2</v>
      </c>
      <c r="B13" s="30" t="s">
        <v>80</v>
      </c>
      <c r="C13" s="31" t="s">
        <v>77</v>
      </c>
      <c r="D13" s="30" t="s">
        <v>220</v>
      </c>
      <c r="E13" s="31" t="s">
        <v>79</v>
      </c>
      <c r="F13" s="32">
        <f t="shared" ref="F13:F45" si="1">F12+G12</f>
        <v>8</v>
      </c>
      <c r="G13" s="32">
        <v>4</v>
      </c>
      <c r="H13" s="32">
        <f t="shared" si="0"/>
        <v>11</v>
      </c>
    </row>
    <row r="14" spans="1:8" x14ac:dyDescent="0.2">
      <c r="A14" s="29" t="s">
        <v>180</v>
      </c>
      <c r="B14" s="30" t="s">
        <v>82</v>
      </c>
      <c r="C14" s="31" t="s">
        <v>77</v>
      </c>
      <c r="D14" s="30" t="s">
        <v>83</v>
      </c>
      <c r="E14" s="31" t="s">
        <v>79</v>
      </c>
      <c r="F14" s="32">
        <f t="shared" si="1"/>
        <v>12</v>
      </c>
      <c r="G14" s="32">
        <v>2</v>
      </c>
      <c r="H14" s="32">
        <f t="shared" si="0"/>
        <v>13</v>
      </c>
    </row>
    <row r="15" spans="1:8" x14ac:dyDescent="0.2">
      <c r="A15" s="29" t="s">
        <v>4</v>
      </c>
      <c r="B15" s="30" t="s">
        <v>221</v>
      </c>
      <c r="C15" s="31" t="s">
        <v>77</v>
      </c>
      <c r="D15" s="30" t="s">
        <v>222</v>
      </c>
      <c r="E15" s="31" t="s">
        <v>79</v>
      </c>
      <c r="F15" s="32">
        <f t="shared" si="1"/>
        <v>14</v>
      </c>
      <c r="G15" s="32">
        <v>2</v>
      </c>
      <c r="H15" s="32">
        <f t="shared" si="0"/>
        <v>15</v>
      </c>
    </row>
    <row r="16" spans="1:8" ht="22.5" x14ac:dyDescent="0.2">
      <c r="A16" s="29" t="s">
        <v>5</v>
      </c>
      <c r="B16" s="30" t="s">
        <v>86</v>
      </c>
      <c r="C16" s="31" t="s">
        <v>77</v>
      </c>
      <c r="D16" s="30" t="s">
        <v>223</v>
      </c>
      <c r="E16" s="31" t="s">
        <v>79</v>
      </c>
      <c r="F16" s="32">
        <f t="shared" si="1"/>
        <v>16</v>
      </c>
      <c r="G16" s="30">
        <v>3</v>
      </c>
      <c r="H16" s="32">
        <f t="shared" si="0"/>
        <v>18</v>
      </c>
    </row>
    <row r="17" spans="1:9" ht="22.5" x14ac:dyDescent="0.2">
      <c r="A17" s="29" t="s">
        <v>181</v>
      </c>
      <c r="B17" s="30" t="s">
        <v>224</v>
      </c>
      <c r="C17" s="31" t="s">
        <v>95</v>
      </c>
      <c r="D17" s="30" t="s">
        <v>96</v>
      </c>
      <c r="E17" s="31" t="s">
        <v>79</v>
      </c>
      <c r="F17" s="32">
        <f t="shared" si="1"/>
        <v>19</v>
      </c>
      <c r="G17" s="30">
        <v>3</v>
      </c>
      <c r="H17" s="32">
        <f t="shared" si="0"/>
        <v>21</v>
      </c>
      <c r="I17" s="23">
        <v>91</v>
      </c>
    </row>
    <row r="18" spans="1:9" ht="22.5" x14ac:dyDescent="0.2">
      <c r="A18" s="29" t="s">
        <v>182</v>
      </c>
      <c r="B18" s="30" t="s">
        <v>225</v>
      </c>
      <c r="C18" s="31" t="s">
        <v>95</v>
      </c>
      <c r="D18" s="30" t="s">
        <v>226</v>
      </c>
      <c r="E18" s="31" t="s">
        <v>79</v>
      </c>
      <c r="F18" s="32">
        <f t="shared" si="1"/>
        <v>22</v>
      </c>
      <c r="G18" s="30">
        <v>3</v>
      </c>
      <c r="H18" s="32">
        <f t="shared" si="0"/>
        <v>24</v>
      </c>
    </row>
    <row r="19" spans="1:9" x14ac:dyDescent="0.2">
      <c r="A19" s="29" t="s">
        <v>183</v>
      </c>
      <c r="B19" s="30" t="s">
        <v>227</v>
      </c>
      <c r="C19" s="31" t="s">
        <v>77</v>
      </c>
      <c r="D19" s="30" t="s">
        <v>228</v>
      </c>
      <c r="E19" s="31" t="s">
        <v>79</v>
      </c>
      <c r="F19" s="32">
        <f t="shared" si="1"/>
        <v>25</v>
      </c>
      <c r="G19" s="30">
        <v>8</v>
      </c>
      <c r="H19" s="32">
        <f t="shared" si="0"/>
        <v>32</v>
      </c>
    </row>
    <row r="20" spans="1:9" x14ac:dyDescent="0.2">
      <c r="A20" s="29" t="s">
        <v>184</v>
      </c>
      <c r="B20" s="30" t="s">
        <v>76</v>
      </c>
      <c r="C20" s="31" t="s">
        <v>77</v>
      </c>
      <c r="D20" s="34" t="s">
        <v>229</v>
      </c>
      <c r="E20" s="31" t="s">
        <v>79</v>
      </c>
      <c r="F20" s="32">
        <f t="shared" si="1"/>
        <v>33</v>
      </c>
      <c r="G20" s="30">
        <v>10</v>
      </c>
      <c r="H20" s="32">
        <f t="shared" si="0"/>
        <v>42</v>
      </c>
    </row>
    <row r="21" spans="1:9" ht="22.5" x14ac:dyDescent="0.2">
      <c r="A21" s="29" t="s">
        <v>185</v>
      </c>
      <c r="B21" s="30" t="s">
        <v>230</v>
      </c>
      <c r="C21" s="31" t="s">
        <v>77</v>
      </c>
      <c r="D21" s="34" t="s">
        <v>231</v>
      </c>
      <c r="E21" s="31" t="s">
        <v>155</v>
      </c>
      <c r="F21" s="32">
        <f t="shared" si="1"/>
        <v>43</v>
      </c>
      <c r="G21" s="30">
        <v>7</v>
      </c>
      <c r="H21" s="32">
        <f t="shared" si="0"/>
        <v>49</v>
      </c>
    </row>
    <row r="22" spans="1:9" ht="22.5" x14ac:dyDescent="0.2">
      <c r="A22" s="29" t="s">
        <v>186</v>
      </c>
      <c r="B22" s="30" t="s">
        <v>232</v>
      </c>
      <c r="C22" s="31" t="s">
        <v>95</v>
      </c>
      <c r="D22" s="34" t="s">
        <v>233</v>
      </c>
      <c r="E22" s="31" t="s">
        <v>155</v>
      </c>
      <c r="F22" s="32">
        <f t="shared" si="1"/>
        <v>50</v>
      </c>
      <c r="G22" s="30">
        <v>50</v>
      </c>
      <c r="H22" s="32">
        <f t="shared" si="0"/>
        <v>99</v>
      </c>
    </row>
    <row r="23" spans="1:9" ht="22.5" x14ac:dyDescent="0.2">
      <c r="A23" s="29" t="s">
        <v>187</v>
      </c>
      <c r="B23" s="30" t="s">
        <v>234</v>
      </c>
      <c r="C23" s="31" t="s">
        <v>95</v>
      </c>
      <c r="D23" s="34" t="s">
        <v>235</v>
      </c>
      <c r="E23" s="31" t="s">
        <v>155</v>
      </c>
      <c r="F23" s="32">
        <f t="shared" si="1"/>
        <v>100</v>
      </c>
      <c r="G23" s="30">
        <v>20</v>
      </c>
      <c r="H23" s="32">
        <f t="shared" si="0"/>
        <v>119</v>
      </c>
    </row>
    <row r="24" spans="1:9" x14ac:dyDescent="0.2">
      <c r="A24" s="29" t="s">
        <v>188</v>
      </c>
      <c r="B24" s="30" t="s">
        <v>236</v>
      </c>
      <c r="C24" s="31" t="s">
        <v>95</v>
      </c>
      <c r="D24" s="34" t="s">
        <v>237</v>
      </c>
      <c r="E24" s="31" t="s">
        <v>155</v>
      </c>
      <c r="F24" s="32">
        <f t="shared" si="1"/>
        <v>120</v>
      </c>
      <c r="G24" s="30">
        <v>20</v>
      </c>
      <c r="H24" s="32">
        <f t="shared" si="0"/>
        <v>139</v>
      </c>
    </row>
    <row r="25" spans="1:9" x14ac:dyDescent="0.2">
      <c r="A25" s="29" t="s">
        <v>189</v>
      </c>
      <c r="B25" s="30" t="s">
        <v>238</v>
      </c>
      <c r="C25" s="31" t="s">
        <v>95</v>
      </c>
      <c r="D25" s="34" t="s">
        <v>239</v>
      </c>
      <c r="E25" s="31" t="s">
        <v>155</v>
      </c>
      <c r="F25" s="32">
        <f t="shared" si="1"/>
        <v>140</v>
      </c>
      <c r="G25" s="30">
        <v>20</v>
      </c>
      <c r="H25" s="32">
        <f t="shared" si="0"/>
        <v>159</v>
      </c>
    </row>
    <row r="26" spans="1:9" x14ac:dyDescent="0.2">
      <c r="A26" s="29" t="s">
        <v>190</v>
      </c>
      <c r="B26" s="30" t="s">
        <v>240</v>
      </c>
      <c r="C26" s="31" t="s">
        <v>95</v>
      </c>
      <c r="D26" s="30" t="s">
        <v>241</v>
      </c>
      <c r="E26" s="31" t="s">
        <v>79</v>
      </c>
      <c r="F26" s="32">
        <f t="shared" si="1"/>
        <v>160</v>
      </c>
      <c r="G26" s="30">
        <v>5</v>
      </c>
      <c r="H26" s="32">
        <f t="shared" si="0"/>
        <v>164</v>
      </c>
    </row>
    <row r="27" spans="1:9" ht="22.5" x14ac:dyDescent="0.2">
      <c r="A27" s="29" t="s">
        <v>191</v>
      </c>
      <c r="B27" s="30" t="s">
        <v>242</v>
      </c>
      <c r="C27" s="31" t="s">
        <v>77</v>
      </c>
      <c r="D27" s="34" t="s">
        <v>243</v>
      </c>
      <c r="E27" s="31" t="s">
        <v>79</v>
      </c>
      <c r="F27" s="32">
        <f t="shared" si="1"/>
        <v>165</v>
      </c>
      <c r="G27" s="30">
        <v>3</v>
      </c>
      <c r="H27" s="32">
        <f t="shared" si="0"/>
        <v>167</v>
      </c>
    </row>
    <row r="28" spans="1:9" x14ac:dyDescent="0.2">
      <c r="A28" s="29" t="s">
        <v>192</v>
      </c>
      <c r="B28" s="30" t="s">
        <v>244</v>
      </c>
      <c r="C28" s="31" t="s">
        <v>95</v>
      </c>
      <c r="D28" s="30" t="s">
        <v>245</v>
      </c>
      <c r="E28" s="31" t="s">
        <v>79</v>
      </c>
      <c r="F28" s="32">
        <f t="shared" si="1"/>
        <v>168</v>
      </c>
      <c r="G28" s="30">
        <v>2</v>
      </c>
      <c r="H28" s="32">
        <f t="shared" si="0"/>
        <v>169</v>
      </c>
    </row>
    <row r="29" spans="1:9" x14ac:dyDescent="0.2">
      <c r="A29" s="39" t="s">
        <v>193</v>
      </c>
      <c r="B29" s="30" t="s">
        <v>246</v>
      </c>
      <c r="C29" s="31" t="s">
        <v>77</v>
      </c>
      <c r="D29" s="34" t="s">
        <v>247</v>
      </c>
      <c r="E29" s="31" t="s">
        <v>79</v>
      </c>
      <c r="F29" s="32">
        <f t="shared" si="1"/>
        <v>170</v>
      </c>
      <c r="G29" s="30">
        <v>1</v>
      </c>
      <c r="H29" s="32">
        <f t="shared" si="0"/>
        <v>170</v>
      </c>
    </row>
    <row r="30" spans="1:9" ht="22.5" x14ac:dyDescent="0.2">
      <c r="A30" s="29" t="s">
        <v>194</v>
      </c>
      <c r="B30" s="30" t="s">
        <v>248</v>
      </c>
      <c r="C30" s="31" t="s">
        <v>95</v>
      </c>
      <c r="D30" s="30" t="s">
        <v>249</v>
      </c>
      <c r="E30" s="31" t="s">
        <v>79</v>
      </c>
      <c r="F30" s="32">
        <f>F29+G29</f>
        <v>171</v>
      </c>
      <c r="G30" s="30">
        <v>3</v>
      </c>
      <c r="H30" s="32">
        <f t="shared" si="0"/>
        <v>173</v>
      </c>
      <c r="I30" s="23">
        <v>91</v>
      </c>
    </row>
    <row r="31" spans="1:9" ht="22.5" x14ac:dyDescent="0.2">
      <c r="A31" s="29" t="s">
        <v>195</v>
      </c>
      <c r="B31" s="30" t="s">
        <v>250</v>
      </c>
      <c r="C31" s="31" t="s">
        <v>95</v>
      </c>
      <c r="D31" s="30" t="s">
        <v>251</v>
      </c>
      <c r="E31" s="31" t="s">
        <v>119</v>
      </c>
      <c r="F31" s="32">
        <f t="shared" si="1"/>
        <v>174</v>
      </c>
      <c r="G31" s="30">
        <v>20</v>
      </c>
      <c r="H31" s="32">
        <f t="shared" si="0"/>
        <v>193</v>
      </c>
    </row>
    <row r="32" spans="1:9" ht="33.75" x14ac:dyDescent="0.2">
      <c r="A32" s="29" t="s">
        <v>196</v>
      </c>
      <c r="B32" s="30" t="s">
        <v>252</v>
      </c>
      <c r="C32" s="31" t="s">
        <v>95</v>
      </c>
      <c r="D32" s="30" t="s">
        <v>253</v>
      </c>
      <c r="E32" s="31" t="s">
        <v>155</v>
      </c>
      <c r="F32" s="32">
        <f t="shared" si="1"/>
        <v>194</v>
      </c>
      <c r="G32" s="30">
        <v>15</v>
      </c>
      <c r="H32" s="32">
        <f t="shared" si="0"/>
        <v>208</v>
      </c>
    </row>
    <row r="33" spans="1:8" ht="22.5" x14ac:dyDescent="0.2">
      <c r="A33" s="29" t="s">
        <v>197</v>
      </c>
      <c r="B33" s="30" t="s">
        <v>254</v>
      </c>
      <c r="C33" s="31" t="s">
        <v>95</v>
      </c>
      <c r="D33" s="30" t="s">
        <v>255</v>
      </c>
      <c r="E33" s="31" t="s">
        <v>119</v>
      </c>
      <c r="F33" s="32">
        <f t="shared" si="1"/>
        <v>209</v>
      </c>
      <c r="G33" s="30">
        <v>15</v>
      </c>
      <c r="H33" s="32">
        <f t="shared" si="0"/>
        <v>223</v>
      </c>
    </row>
    <row r="34" spans="1:8" x14ac:dyDescent="0.2">
      <c r="A34" s="33" t="s">
        <v>198</v>
      </c>
      <c r="B34" s="30" t="s">
        <v>121</v>
      </c>
      <c r="C34" s="31" t="s">
        <v>122</v>
      </c>
      <c r="D34" s="30" t="s">
        <v>101</v>
      </c>
      <c r="E34" s="31" t="s">
        <v>79</v>
      </c>
      <c r="F34" s="32">
        <f t="shared" si="1"/>
        <v>224</v>
      </c>
      <c r="G34" s="32">
        <v>8</v>
      </c>
      <c r="H34" s="32">
        <f t="shared" si="0"/>
        <v>231</v>
      </c>
    </row>
    <row r="35" spans="1:8" ht="22.5" x14ac:dyDescent="0.2">
      <c r="A35" s="33" t="s">
        <v>199</v>
      </c>
      <c r="B35" s="30" t="s">
        <v>123</v>
      </c>
      <c r="C35" s="31" t="s">
        <v>77</v>
      </c>
      <c r="D35" s="30" t="s">
        <v>124</v>
      </c>
      <c r="E35" s="31" t="s">
        <v>79</v>
      </c>
      <c r="F35" s="32">
        <f t="shared" si="1"/>
        <v>232</v>
      </c>
      <c r="G35" s="32">
        <v>3</v>
      </c>
      <c r="H35" s="32">
        <f t="shared" si="0"/>
        <v>234</v>
      </c>
    </row>
    <row r="36" spans="1:8" ht="22.5" x14ac:dyDescent="0.2">
      <c r="A36" s="29" t="s">
        <v>200</v>
      </c>
      <c r="B36" s="30" t="s">
        <v>256</v>
      </c>
      <c r="C36" s="31" t="s">
        <v>95</v>
      </c>
      <c r="D36" s="25" t="s">
        <v>257</v>
      </c>
      <c r="E36" s="31" t="s">
        <v>119</v>
      </c>
      <c r="F36" s="32">
        <f t="shared" si="1"/>
        <v>235</v>
      </c>
      <c r="G36" s="30">
        <v>3</v>
      </c>
      <c r="H36" s="32">
        <f t="shared" si="0"/>
        <v>237</v>
      </c>
    </row>
    <row r="37" spans="1:8" ht="22.5" x14ac:dyDescent="0.2">
      <c r="A37" s="29" t="s">
        <v>201</v>
      </c>
      <c r="B37" s="30" t="s">
        <v>258</v>
      </c>
      <c r="C37" s="31" t="s">
        <v>95</v>
      </c>
      <c r="D37" s="30" t="s">
        <v>259</v>
      </c>
      <c r="E37" s="31" t="s">
        <v>79</v>
      </c>
      <c r="F37" s="32">
        <f t="shared" si="1"/>
        <v>238</v>
      </c>
      <c r="G37" s="30">
        <v>4</v>
      </c>
      <c r="H37" s="32">
        <f t="shared" si="0"/>
        <v>241</v>
      </c>
    </row>
    <row r="38" spans="1:8" ht="67.5" x14ac:dyDescent="0.2">
      <c r="A38" s="29" t="s">
        <v>202</v>
      </c>
      <c r="B38" s="30" t="s">
        <v>260</v>
      </c>
      <c r="C38" s="31" t="s">
        <v>77</v>
      </c>
      <c r="D38" s="34" t="s">
        <v>261</v>
      </c>
      <c r="E38" s="31" t="s">
        <v>79</v>
      </c>
      <c r="F38" s="32">
        <f t="shared" si="1"/>
        <v>242</v>
      </c>
      <c r="G38" s="30">
        <v>20</v>
      </c>
      <c r="H38" s="32">
        <f t="shared" si="0"/>
        <v>261</v>
      </c>
    </row>
    <row r="39" spans="1:8" ht="67.5" x14ac:dyDescent="0.2">
      <c r="A39" s="29" t="s">
        <v>203</v>
      </c>
      <c r="B39" s="30" t="s">
        <v>262</v>
      </c>
      <c r="C39" s="31" t="s">
        <v>77</v>
      </c>
      <c r="D39" s="40" t="s">
        <v>263</v>
      </c>
      <c r="E39" s="31" t="s">
        <v>155</v>
      </c>
      <c r="F39" s="32">
        <f t="shared" si="1"/>
        <v>262</v>
      </c>
      <c r="G39" s="30">
        <v>20</v>
      </c>
      <c r="H39" s="32">
        <f t="shared" si="0"/>
        <v>281</v>
      </c>
    </row>
    <row r="40" spans="1:8" ht="80.25" customHeight="1" x14ac:dyDescent="0.2">
      <c r="A40" s="29" t="s">
        <v>204</v>
      </c>
      <c r="B40" s="30" t="s">
        <v>264</v>
      </c>
      <c r="C40" s="31" t="s">
        <v>77</v>
      </c>
      <c r="D40" s="30" t="s">
        <v>265</v>
      </c>
      <c r="E40" s="31" t="s">
        <v>155</v>
      </c>
      <c r="F40" s="32">
        <f t="shared" si="1"/>
        <v>282</v>
      </c>
      <c r="G40" s="30">
        <v>20</v>
      </c>
      <c r="H40" s="32">
        <f t="shared" si="0"/>
        <v>301</v>
      </c>
    </row>
    <row r="41" spans="1:8" ht="33.75" x14ac:dyDescent="0.2">
      <c r="A41" s="29" t="s">
        <v>205</v>
      </c>
      <c r="B41" s="30" t="s">
        <v>266</v>
      </c>
      <c r="C41" s="31" t="s">
        <v>77</v>
      </c>
      <c r="D41" s="34" t="s">
        <v>267</v>
      </c>
      <c r="E41" s="31" t="s">
        <v>79</v>
      </c>
      <c r="F41" s="32">
        <f t="shared" si="1"/>
        <v>302</v>
      </c>
      <c r="G41" s="30">
        <v>1</v>
      </c>
      <c r="H41" s="32">
        <f t="shared" si="0"/>
        <v>302</v>
      </c>
    </row>
    <row r="42" spans="1:8" x14ac:dyDescent="0.2">
      <c r="A42" s="29" t="s">
        <v>206</v>
      </c>
      <c r="B42" s="30" t="s">
        <v>268</v>
      </c>
      <c r="C42" s="31" t="s">
        <v>95</v>
      </c>
      <c r="D42" s="34" t="s">
        <v>269</v>
      </c>
      <c r="E42" s="31" t="s">
        <v>119</v>
      </c>
      <c r="F42" s="32">
        <f t="shared" si="1"/>
        <v>303</v>
      </c>
      <c r="G42" s="30">
        <v>255</v>
      </c>
      <c r="H42" s="32">
        <f t="shared" si="0"/>
        <v>557</v>
      </c>
    </row>
    <row r="43" spans="1:8" x14ac:dyDescent="0.2">
      <c r="A43" s="29" t="s">
        <v>207</v>
      </c>
      <c r="B43" s="30" t="s">
        <v>270</v>
      </c>
      <c r="C43" s="31" t="s">
        <v>95</v>
      </c>
      <c r="D43" s="34" t="s">
        <v>271</v>
      </c>
      <c r="E43" s="31" t="s">
        <v>119</v>
      </c>
      <c r="F43" s="32">
        <f t="shared" si="1"/>
        <v>558</v>
      </c>
      <c r="G43" s="30">
        <v>2000</v>
      </c>
      <c r="H43" s="32">
        <f t="shared" si="0"/>
        <v>2557</v>
      </c>
    </row>
    <row r="44" spans="1:8" ht="45" x14ac:dyDescent="0.2">
      <c r="A44" s="29" t="s">
        <v>208</v>
      </c>
      <c r="B44" s="30" t="s">
        <v>272</v>
      </c>
      <c r="C44" s="31" t="s">
        <v>77</v>
      </c>
      <c r="D44" s="30" t="s">
        <v>273</v>
      </c>
      <c r="E44" s="31" t="s">
        <v>79</v>
      </c>
      <c r="F44" s="32">
        <f t="shared" si="1"/>
        <v>2558</v>
      </c>
      <c r="G44" s="30">
        <v>1</v>
      </c>
      <c r="H44" s="32">
        <f t="shared" si="0"/>
        <v>2558</v>
      </c>
    </row>
    <row r="45" spans="1:8" ht="33.75" x14ac:dyDescent="0.2">
      <c r="A45" s="29" t="s">
        <v>209</v>
      </c>
      <c r="B45" s="30" t="s">
        <v>274</v>
      </c>
      <c r="C45" s="31" t="s">
        <v>77</v>
      </c>
      <c r="D45" s="30" t="s">
        <v>275</v>
      </c>
      <c r="E45" s="31" t="s">
        <v>79</v>
      </c>
      <c r="F45" s="32">
        <f t="shared" si="1"/>
        <v>2559</v>
      </c>
      <c r="G45" s="30">
        <v>1</v>
      </c>
      <c r="H45" s="32">
        <f t="shared" si="0"/>
        <v>2559</v>
      </c>
    </row>
    <row r="46" spans="1:8" ht="24" customHeight="1" x14ac:dyDescent="0.2">
      <c r="A46" s="73" t="s">
        <v>179</v>
      </c>
      <c r="B46" s="74"/>
      <c r="C46" s="74"/>
      <c r="D46" s="74"/>
      <c r="E46" s="74"/>
      <c r="F46" s="74"/>
      <c r="G46" s="74"/>
      <c r="H46" s="74"/>
    </row>
    <row r="48" spans="1:8" x14ac:dyDescent="0.2">
      <c r="A48" s="23"/>
    </row>
    <row r="49" spans="1:1" x14ac:dyDescent="0.2">
      <c r="A49" s="23"/>
    </row>
    <row r="50" spans="1:1" x14ac:dyDescent="0.2">
      <c r="A50" s="23"/>
    </row>
    <row r="51" spans="1:1" x14ac:dyDescent="0.2">
      <c r="A51" s="23"/>
    </row>
    <row r="52" spans="1:1" x14ac:dyDescent="0.2">
      <c r="A52" s="41"/>
    </row>
    <row r="53" spans="1:1" x14ac:dyDescent="0.2">
      <c r="A53" s="23"/>
    </row>
  </sheetData>
  <mergeCells count="4">
    <mergeCell ref="A3:H3"/>
    <mergeCell ref="A5:H5"/>
    <mergeCell ref="A11:H11"/>
    <mergeCell ref="A46:H4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Instrucciones</vt:lpstr>
      <vt:lpstr>DocInv</vt:lpstr>
      <vt:lpstr>Encabezado</vt:lpstr>
      <vt:lpstr>MovInv</vt:lpstr>
      <vt:lpstr>Detalle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AMIRA BUELVAS</dc:creator>
  <cp:keywords/>
  <dc:description/>
  <cp:lastModifiedBy>Jonathan Molina</cp:lastModifiedBy>
  <cp:revision/>
  <dcterms:created xsi:type="dcterms:W3CDTF">2012-12-27T21:08:09Z</dcterms:created>
  <dcterms:modified xsi:type="dcterms:W3CDTF">2025-09-04T19:04:27Z</dcterms:modified>
  <cp:category/>
  <cp:contentStatus/>
</cp:coreProperties>
</file>