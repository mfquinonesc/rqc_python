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manrey-my.sharepoint.com/personal/tecnologia_reymon_com_co/Documents/Departamento de Tecnologia/SIESA/Planos/"/>
    </mc:Choice>
  </mc:AlternateContent>
  <xr:revisionPtr revIDLastSave="218" documentId="11_C2B7C2ECFE528AC6A4F3EE8A18F653149542E3D1" xr6:coauthVersionLast="47" xr6:coauthVersionMax="47" xr10:uidLastSave="{888C6873-5BCF-4BB6-B6C3-2EE0C9F110CA}"/>
  <bookViews>
    <workbookView xWindow="-120" yWindow="-120" windowWidth="29040" windowHeight="15720" tabRatio="838" activeTab="3" xr2:uid="{00000000-000D-0000-FFFF-FFFF00000000}"/>
  </bookViews>
  <sheets>
    <sheet name="Instrucciones" sheetId="1" r:id="rId1"/>
    <sheet name="DocInv" sheetId="135" r:id="rId2"/>
    <sheet name="Encabezado" sheetId="136" r:id="rId3"/>
    <sheet name="MovInv" sheetId="137" r:id="rId4"/>
    <sheet name="Detalle" sheetId="138" r:id="rId5"/>
  </sheets>
  <functionGroups builtInGroupCount="19"/>
  <definedNames>
    <definedName name="_xlnm._FilterDatabase" localSheetId="1" hidden="1">DocInv!$A$1:$U$4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3" i="138" l="1"/>
  <c r="H13" i="138" s="1"/>
  <c r="H12" i="138"/>
  <c r="F11" i="136"/>
  <c r="F12" i="136" s="1"/>
  <c r="F10" i="136"/>
  <c r="H10" i="136" s="1"/>
  <c r="H9" i="136"/>
  <c r="F14" i="138" l="1"/>
  <c r="H14" i="138" s="1"/>
  <c r="F15" i="138"/>
  <c r="H12" i="136"/>
  <c r="F13" i="136"/>
  <c r="H11" i="136"/>
  <c r="H15" i="138" l="1"/>
  <c r="F16" i="138"/>
  <c r="F14" i="136"/>
  <c r="H13" i="136"/>
  <c r="F17" i="138" l="1"/>
  <c r="H16" i="138"/>
  <c r="H14" i="136"/>
  <c r="F15" i="136"/>
  <c r="H17" i="138" l="1"/>
  <c r="F18" i="138"/>
  <c r="F16" i="136"/>
  <c r="H15" i="136"/>
  <c r="H18" i="138" l="1"/>
  <c r="F19" i="138"/>
  <c r="H16" i="136"/>
  <c r="F17" i="136"/>
  <c r="H19" i="138" l="1"/>
  <c r="F20" i="138"/>
  <c r="F18" i="136"/>
  <c r="H17" i="136"/>
  <c r="F21" i="138" l="1"/>
  <c r="H20" i="138"/>
  <c r="H18" i="136"/>
  <c r="F19" i="136"/>
  <c r="H21" i="138" l="1"/>
  <c r="F22" i="138"/>
  <c r="F20" i="136"/>
  <c r="H19" i="136"/>
  <c r="H22" i="138" l="1"/>
  <c r="F23" i="138"/>
  <c r="H20" i="136"/>
  <c r="F21" i="136"/>
  <c r="H23" i="138" l="1"/>
  <c r="F24" i="138"/>
  <c r="F22" i="136"/>
  <c r="H21" i="136"/>
  <c r="F25" i="138" l="1"/>
  <c r="H24" i="138"/>
  <c r="H22" i="136"/>
  <c r="F23" i="136"/>
  <c r="H25" i="138" l="1"/>
  <c r="F26" i="138"/>
  <c r="F24" i="136"/>
  <c r="H23" i="136"/>
  <c r="H26" i="138" l="1"/>
  <c r="F27" i="138"/>
  <c r="H24" i="136"/>
  <c r="F25" i="136"/>
  <c r="H27" i="138" l="1"/>
  <c r="F28" i="138"/>
  <c r="F26" i="136"/>
  <c r="H25" i="136"/>
  <c r="F29" i="138" l="1"/>
  <c r="H28" i="138"/>
  <c r="H26" i="136"/>
  <c r="F27" i="136"/>
  <c r="H29" i="138" l="1"/>
  <c r="F30" i="138"/>
  <c r="F28" i="136"/>
  <c r="H27" i="136"/>
  <c r="H30" i="138" l="1"/>
  <c r="F31" i="138"/>
  <c r="H28" i="136"/>
  <c r="F29" i="136"/>
  <c r="H31" i="138" l="1"/>
  <c r="F32" i="138"/>
  <c r="F30" i="136"/>
  <c r="H29" i="136"/>
  <c r="F33" i="138" l="1"/>
  <c r="H32" i="138"/>
  <c r="H30" i="136"/>
  <c r="F31" i="136"/>
  <c r="H33" i="138" l="1"/>
  <c r="F34" i="138"/>
  <c r="F32" i="136"/>
  <c r="H31" i="136"/>
  <c r="H34" i="138" l="1"/>
  <c r="F35" i="138"/>
  <c r="H32" i="136"/>
  <c r="F33" i="136"/>
  <c r="H35" i="138" l="1"/>
  <c r="F36" i="138"/>
  <c r="F34" i="136"/>
  <c r="H33" i="136"/>
  <c r="F37" i="138" l="1"/>
  <c r="H36" i="138"/>
  <c r="H34" i="136"/>
  <c r="F35" i="136"/>
  <c r="H37" i="138" l="1"/>
  <c r="F38" i="138"/>
  <c r="F36" i="136"/>
  <c r="H35" i="136"/>
  <c r="H38" i="138" l="1"/>
  <c r="F39" i="138"/>
  <c r="H36" i="136"/>
  <c r="F37" i="136"/>
  <c r="H39" i="138" l="1"/>
  <c r="F40" i="138"/>
  <c r="F38" i="136"/>
  <c r="H37" i="136"/>
  <c r="F41" i="138" l="1"/>
  <c r="H40" i="138"/>
  <c r="H38" i="136"/>
  <c r="F39" i="136"/>
  <c r="H41" i="138" l="1"/>
  <c r="F42" i="138"/>
  <c r="F40" i="136"/>
  <c r="H39" i="136"/>
  <c r="H42" i="138" l="1"/>
  <c r="F43" i="138"/>
  <c r="H40" i="136"/>
  <c r="F41" i="136"/>
  <c r="H43" i="138" l="1"/>
  <c r="F44" i="138"/>
  <c r="F42" i="136"/>
  <c r="H41" i="136"/>
  <c r="F45" i="138" l="1"/>
  <c r="H44" i="138"/>
  <c r="H42" i="136"/>
  <c r="F43" i="136"/>
  <c r="H45" i="138" l="1"/>
  <c r="F46" i="138"/>
  <c r="F44" i="136"/>
  <c r="H43" i="136"/>
  <c r="H46" i="138" l="1"/>
  <c r="F47" i="138"/>
  <c r="H44" i="136"/>
  <c r="F45" i="136"/>
  <c r="H47" i="138" l="1"/>
  <c r="F48" i="138"/>
  <c r="F46" i="136"/>
  <c r="H45" i="136"/>
  <c r="H48" i="138" l="1"/>
  <c r="F49" i="138"/>
  <c r="H46" i="136"/>
  <c r="F47" i="136"/>
  <c r="H49" i="138" l="1"/>
  <c r="F50" i="138"/>
  <c r="F48" i="136"/>
  <c r="H47" i="136"/>
  <c r="F51" i="138" l="1"/>
  <c r="H51" i="138" s="1"/>
  <c r="H50" i="138"/>
  <c r="H48" i="136"/>
  <c r="F49" i="136"/>
  <c r="F50" i="136" l="1"/>
  <c r="H49" i="136"/>
  <c r="H50" i="136" l="1"/>
  <c r="F51" i="136"/>
  <c r="F52" i="136" l="1"/>
  <c r="H51" i="136"/>
  <c r="H52" i="136" l="1"/>
  <c r="F53" i="136"/>
  <c r="F54" i="136" l="1"/>
  <c r="H53" i="136"/>
  <c r="H54" i="136" l="1"/>
  <c r="F55" i="136"/>
  <c r="F56" i="136" l="1"/>
  <c r="H55" i="136"/>
  <c r="H56" i="136" l="1"/>
  <c r="F57" i="136"/>
  <c r="F58" i="136" l="1"/>
  <c r="H57" i="136"/>
  <c r="H58" i="136" l="1"/>
  <c r="F59" i="136"/>
  <c r="F60" i="136" l="1"/>
  <c r="H59" i="136"/>
  <c r="H60" i="136" l="1"/>
  <c r="F61" i="136"/>
  <c r="F62" i="136" l="1"/>
  <c r="H61" i="136"/>
  <c r="H62" i="136" l="1"/>
  <c r="F63" i="136"/>
  <c r="F64" i="136" l="1"/>
  <c r="H63" i="136"/>
  <c r="H64" i="136" l="1"/>
  <c r="F65" i="136"/>
  <c r="F66" i="136" l="1"/>
  <c r="H65" i="136"/>
  <c r="H66" i="136" l="1"/>
  <c r="F67" i="136"/>
  <c r="F68" i="136" l="1"/>
  <c r="H67" i="136"/>
  <c r="H68" i="136" l="1"/>
  <c r="F69" i="136"/>
  <c r="F70" i="136" l="1"/>
  <c r="H69" i="136"/>
  <c r="H70" i="136" l="1"/>
  <c r="F71" i="136"/>
  <c r="F72" i="136" l="1"/>
  <c r="H71" i="136"/>
  <c r="H72" i="136" l="1"/>
  <c r="F73" i="136"/>
  <c r="F74" i="136" l="1"/>
  <c r="H73" i="136"/>
  <c r="H74" i="136" l="1"/>
  <c r="F75" i="136"/>
  <c r="F76" i="136" l="1"/>
  <c r="H76" i="136" s="1"/>
  <c r="H75" i="136"/>
</calcChain>
</file>

<file path=xl/sharedStrings.xml><?xml version="1.0" encoding="utf-8"?>
<sst xmlns="http://schemas.openxmlformats.org/spreadsheetml/2006/main" count="856" uniqueCount="338">
  <si>
    <t>Filas</t>
  </si>
  <si>
    <t>Campo</t>
  </si>
  <si>
    <t>Tipo</t>
  </si>
  <si>
    <t>Num</t>
  </si>
  <si>
    <t>Alf</t>
  </si>
  <si>
    <t>00</t>
  </si>
  <si>
    <t>001</t>
  </si>
  <si>
    <t>F_SUBTIPO_REG</t>
  </si>
  <si>
    <t>F_CIA</t>
  </si>
  <si>
    <t>SIESA HITECH S.A</t>
  </si>
  <si>
    <t>ARCHIVOS PLANOS PARA INTERFASE CON UNOEE</t>
  </si>
  <si>
    <t>NOMBRE</t>
  </si>
  <si>
    <t>DESCRIPCION</t>
  </si>
  <si>
    <t>TIPO</t>
  </si>
  <si>
    <t>OBSERVACIONES</t>
  </si>
  <si>
    <t>OBL</t>
  </si>
  <si>
    <t>INICIO</t>
  </si>
  <si>
    <t>TAMAÑO</t>
  </si>
  <si>
    <t>TOTAL</t>
  </si>
  <si>
    <t>Numero de registro</t>
  </si>
  <si>
    <t>Numero consecutivo</t>
  </si>
  <si>
    <t>Si</t>
  </si>
  <si>
    <t>Tipo de registro</t>
  </si>
  <si>
    <t>Subtipo de registro</t>
  </si>
  <si>
    <t>Valor fijo = 00</t>
  </si>
  <si>
    <t>Versión del tipo de registro</t>
  </si>
  <si>
    <t>Compañía</t>
  </si>
  <si>
    <t>Valida en maestro, código de la compañía a la cual pertenece la información del registro</t>
  </si>
  <si>
    <t>No</t>
  </si>
  <si>
    <t>Dep</t>
  </si>
  <si>
    <t>NOTAS GENERALES: Los campos que no son requeridos deben dejarse en blanco o en ceros dependiendo de el tipo de dato, esto con el fin de conservar la estructura del archivo en cuanto a su posición inicial y final.</t>
  </si>
  <si>
    <t>Referencia item</t>
  </si>
  <si>
    <t>Codigo de barras</t>
  </si>
  <si>
    <t>Codigo, es obligatorio si no va codigo de item ni referencia</t>
  </si>
  <si>
    <t>Extension 1</t>
  </si>
  <si>
    <t>Extension 2</t>
  </si>
  <si>
    <t>Unidad de medida</t>
  </si>
  <si>
    <t>F_NUMERO-REG</t>
  </si>
  <si>
    <t>F_TIPO-REG</t>
  </si>
  <si>
    <t>F_VERSION-REG</t>
  </si>
  <si>
    <t>F_CONSEC_AUTO_REG</t>
  </si>
  <si>
    <t>F350_ID_CO</t>
  </si>
  <si>
    <t>F350_ID_TIPO_DOCTO</t>
  </si>
  <si>
    <t>F350_CONSEC_DOCTO</t>
  </si>
  <si>
    <t>F350_FECHA</t>
  </si>
  <si>
    <t>F350_ID_CLASE_DOCTO</t>
  </si>
  <si>
    <t>F350_IND_ESTADO</t>
  </si>
  <si>
    <t>F350_IND_IMPRESION</t>
  </si>
  <si>
    <t>f462_id_vehiculo</t>
  </si>
  <si>
    <t>f462_id_tercero_transp</t>
  </si>
  <si>
    <t>f462_id_sucursal_transp</t>
  </si>
  <si>
    <t>f462_id_tercero_conductor</t>
  </si>
  <si>
    <t>f462_nombre_conductor</t>
  </si>
  <si>
    <t>f462_identif_conductor</t>
  </si>
  <si>
    <t>f462_numero_guia</t>
  </si>
  <si>
    <t>f462_cajas</t>
  </si>
  <si>
    <t>f462_peso</t>
  </si>
  <si>
    <t>f462_volumen</t>
  </si>
  <si>
    <t>f462_valor_seguros</t>
  </si>
  <si>
    <t xml:space="preserve">f462_notas  </t>
  </si>
  <si>
    <t>Indica si el numero consecutivo de docto es manual o automático</t>
  </si>
  <si>
    <t>Centro de operación del documento</t>
  </si>
  <si>
    <t>Valida en maestro, código de centro de operación del documento</t>
  </si>
  <si>
    <t>Tipo de documento</t>
  </si>
  <si>
    <t>Numero de documento</t>
  </si>
  <si>
    <t>Fecha del documento</t>
  </si>
  <si>
    <t>El formato debe ser AAAAMMDD</t>
  </si>
  <si>
    <t>Clase interna del documento</t>
  </si>
  <si>
    <t>Estado del documento</t>
  </si>
  <si>
    <t>Estado de impresión del documento</t>
  </si>
  <si>
    <t>0=No Impreso; 1=Impreso</t>
  </si>
  <si>
    <t>Código de vehiculo</t>
  </si>
  <si>
    <t>Valida en maestro de vehiculos, obligatorio si graban información del transportador</t>
  </si>
  <si>
    <t>Código transportador</t>
  </si>
  <si>
    <t>Código del transportador, obligatorio si graban información del transportador y existe vehículo</t>
  </si>
  <si>
    <t>Código sucursal transportador</t>
  </si>
  <si>
    <t>Sucursal del transportador, obligatorio si graban información del transportador y existe vehículo</t>
  </si>
  <si>
    <t>Código conductor</t>
  </si>
  <si>
    <t>Código del conductor, obligatorio si graban información del transportador y existe vehículo</t>
  </si>
  <si>
    <t>Nombre conductor</t>
  </si>
  <si>
    <t>Nombre del conductor, obligatorio si graban información del transportador y existe vehículo</t>
  </si>
  <si>
    <t>Identificación del conductor</t>
  </si>
  <si>
    <t>Identificación del conductor, obligatorio si graban información del transportador y existe vehículo</t>
  </si>
  <si>
    <t>Numero de guia</t>
  </si>
  <si>
    <t>Numero de guia, oblogatoria si graban informacion del transportador y existe vehículo</t>
  </si>
  <si>
    <t>Cajas/Bultos</t>
  </si>
  <si>
    <t>El formato debe ser (10 enteros + punto + 4 decimales).
(0000000000.0000)</t>
  </si>
  <si>
    <t>Peso</t>
  </si>
  <si>
    <t>El formato debe ser (15 enteros + punto + 4 decimales). El número de decimales se deben reportar teniendo en cuenta el número de decimales configurados en la unidade de peso del sistema.
(000000000000000.0000)</t>
  </si>
  <si>
    <t>Volumen</t>
  </si>
  <si>
    <t>El formato debe ser (15 enteros + punto + 4 decimales). El número de decimales se deben reportar teniendo en cuenta el número de decimales configurados en la unidade de volumen del sistema.
(000000000000000.0000)</t>
  </si>
  <si>
    <t>Valor asegurado</t>
  </si>
  <si>
    <t>El formato debe ser (15 enteros + punto + 4 decimales). El número de decimales se deben reportar teniendo en cuenta el número de decimales configurados en la moneda (decimales unidades).
(000000000000000.0000)</t>
  </si>
  <si>
    <t>Notas</t>
  </si>
  <si>
    <t>Notas del transportador</t>
  </si>
  <si>
    <t>Condicion de pago</t>
  </si>
  <si>
    <t>F_SUBTIPO-REG</t>
  </si>
  <si>
    <t xml:space="preserve">f470_id_co </t>
  </si>
  <si>
    <t>f470_id_tipo_docto</t>
  </si>
  <si>
    <t>f470_consec_docto</t>
  </si>
  <si>
    <t>f470_nro_registro</t>
  </si>
  <si>
    <t>f470_id_item</t>
  </si>
  <si>
    <t>f470_referencia_item</t>
  </si>
  <si>
    <t>f470_codigo_barras</t>
  </si>
  <si>
    <t>f470_id_ext1_detalle</t>
  </si>
  <si>
    <t>f470_id_ext2_detalle</t>
  </si>
  <si>
    <t>f470_id_lote</t>
  </si>
  <si>
    <t>f470_id_unidad_medida</t>
  </si>
  <si>
    <t>f470_id_concepto</t>
  </si>
  <si>
    <t>f470_id_motivo</t>
  </si>
  <si>
    <t>f470_ind_naturaleza</t>
  </si>
  <si>
    <t>f470_id_lista_precio</t>
  </si>
  <si>
    <t>f470_cant_base</t>
  </si>
  <si>
    <t>f470_cant_2</t>
  </si>
  <si>
    <t>f470_vlr_bruto</t>
  </si>
  <si>
    <t>f470_notas</t>
  </si>
  <si>
    <t>f470_desc_variable</t>
  </si>
  <si>
    <t>f470_id_co_movto</t>
  </si>
  <si>
    <t>f470_id_un_movto</t>
  </si>
  <si>
    <t>f470_id_ccosto_movto</t>
  </si>
  <si>
    <t>f470_id_proyecto</t>
  </si>
  <si>
    <t>ARCHIVOS PLANOS PARA IMPORTACIÓN DE INVENTARIOS</t>
  </si>
  <si>
    <t>Valor fijo = 470</t>
  </si>
  <si>
    <t>Valor fijo = 01</t>
  </si>
  <si>
    <t>Version del tipo de registro</t>
  </si>
  <si>
    <t>Valida en maestro, código de la compañía a la cual pertenece la informacion del registro</t>
  </si>
  <si>
    <t>Centro de operación</t>
  </si>
  <si>
    <t xml:space="preserve">Tipo de documento </t>
  </si>
  <si>
    <t>Valida en maestro, código de tipo de documento</t>
  </si>
  <si>
    <t xml:space="preserve">Consecutivo de documento </t>
  </si>
  <si>
    <t>Numero de registro del movimiento</t>
  </si>
  <si>
    <t>Item</t>
  </si>
  <si>
    <t>Codigo, es obligatorio si no va referencia ni codigo de barras</t>
  </si>
  <si>
    <t>Codigo, es obligatorio si no va codigo de item ni codigo de barras</t>
  </si>
  <si>
    <t>Es obligatorio si el ítem maneja extensión 1</t>
  </si>
  <si>
    <t>Es obligatorio si el ítem maneja extensión 2</t>
  </si>
  <si>
    <t>Bodega</t>
  </si>
  <si>
    <t>Ubicación</t>
  </si>
  <si>
    <t>Lote</t>
  </si>
  <si>
    <t>Concepto</t>
  </si>
  <si>
    <t>Valida en maestro, código de motivo</t>
  </si>
  <si>
    <t>Naturaleza de la transaccion</t>
  </si>
  <si>
    <t>Se valida con el indicador de naturaleza del motivo. Debe ser 1=Entrada(Devoluciones); 2=Salida (Venta)</t>
  </si>
  <si>
    <t>Lista de precio</t>
  </si>
  <si>
    <t>Valida en maestro, código de la lista de precio</t>
  </si>
  <si>
    <t>Cantidad base</t>
  </si>
  <si>
    <t>Cantidad en unidad de captura, el formato debe ser (15 enteros + punto + 4 decimales). El número de decimales se deben reportar teniendo en cuenta el número de decimales configurados en la unidad de medidad.
(000000000000000.0000)</t>
  </si>
  <si>
    <t>Cantidad adicional</t>
  </si>
  <si>
    <t>Cantidad adicional, es obligatorio si el item maneja unidad adicional, el formato debe ser (15 enteros + punto + 4 decimales). El número de decimales se deben reportar teniendo en cuenta el número de decimales configurados en la unidad de medidad.
(000000000000000.0000)</t>
  </si>
  <si>
    <t xml:space="preserve">Valor bruto </t>
  </si>
  <si>
    <t xml:space="preserve">El formato debe ser (15 enteros + punto + 4 decimales). El número de decimales se deben reportar teniendo en cuenta el número de decimales configurados en la moneda (decimales de compra y venta).  Se debe grabar el valor bruto sin impuestos. </t>
  </si>
  <si>
    <t>Notas del movimiento</t>
  </si>
  <si>
    <t>Descripcion</t>
  </si>
  <si>
    <t>Descripcion del movimiento</t>
  </si>
  <si>
    <t>Causal de devolución</t>
  </si>
  <si>
    <t>Valida en maestro, causal de devolución. Obligatorio si el motivo captura causal de devolución.</t>
  </si>
  <si>
    <t>Centro de operación movimiento</t>
  </si>
  <si>
    <t>Valida en maestro, código de centro de operación del movimiento</t>
  </si>
  <si>
    <t>Unidad de negocio movimiento</t>
  </si>
  <si>
    <t>Valida en maestro, código de unidad de negocio del movimiento.</t>
  </si>
  <si>
    <t>Centro de costo movimiento</t>
  </si>
  <si>
    <t>Obligatorio si la  cuenta contable exige ccosto. Valida en maestro, código de centro de costo del movimiento.</t>
  </si>
  <si>
    <t>Proyecto</t>
  </si>
  <si>
    <t>Valida en maestro, código de proyecto del movimiento</t>
  </si>
  <si>
    <t>01</t>
  </si>
  <si>
    <t>1001</t>
  </si>
  <si>
    <t>F_CAMPO</t>
  </si>
  <si>
    <t>f470_id_bodega</t>
  </si>
  <si>
    <t>f470_id_ubicacion_aux</t>
  </si>
  <si>
    <t>f470_ind_obsequio</t>
  </si>
  <si>
    <t>f470_id_unidad_precio</t>
  </si>
  <si>
    <t>f470_ind_solo_valor</t>
  </si>
  <si>
    <t>f470_ind_impto_asumido</t>
  </si>
  <si>
    <t>F_DESC_ITEM</t>
  </si>
  <si>
    <t>F_ID_UM_INVENTARIO</t>
  </si>
  <si>
    <t>INFORMACION DEL DOCUMENTO DE VENTAS</t>
  </si>
  <si>
    <t>Numérico</t>
  </si>
  <si>
    <t>Valor fijo = 461</t>
  </si>
  <si>
    <t>Versión = 02</t>
  </si>
  <si>
    <t>F_LIQUIDA_IMPUESTO</t>
  </si>
  <si>
    <t>Indicador para liquidar impuestos</t>
  </si>
  <si>
    <t>0=No liquida impuestos, respeta los que estan en el plano registro tipo 472 y subtipo 02.
1=Liquida impuestos con los parámetros del sistema (servicio y cliente) en el momento de la importación. No tiene en cuenta los registros tipo 321 de este movimiento.</t>
  </si>
  <si>
    <t>F_LIQUIDA_RETENCION</t>
  </si>
  <si>
    <t>Indicador para liquidar retenciones</t>
  </si>
  <si>
    <t>0=No liquida retenciones y respeta las que estan en el plano registro tipo 314 y subtipo 02.
1=Liquida retenciones con los parámetros del sistema (servicios y clientes) en el momento de la importación. No tiene en cuenta los registros tipo 314 de este movimiento.</t>
  </si>
  <si>
    <t>0=Manual, significa que respecta el consecutivo asignado en el plano, 1=Automático, significa que el consecutivo es recalculado con base en la tabla de consecutivos de docto. 2 = Transacción granulada.</t>
  </si>
  <si>
    <t>Alfanumérico</t>
  </si>
  <si>
    <t>F350_ID_TERCERO</t>
  </si>
  <si>
    <t>Tercero cliente</t>
  </si>
  <si>
    <t>Valida en maestro, código de tercero cliente</t>
  </si>
  <si>
    <t>Factura venta desde remision = 520
Notas credito desde devolciones = 521
Factura directa = 522
Nota crédito directa = 525</t>
  </si>
  <si>
    <t>0=Elaboración; 1=Aprobado, 2=Anulado</t>
  </si>
  <si>
    <t>f461_id_sucursal_fact</t>
  </si>
  <si>
    <t>Sucursal del cliente</t>
  </si>
  <si>
    <t>Valida en maestro, clientes</t>
  </si>
  <si>
    <t>f461_id_tipo_cli_fact</t>
  </si>
  <si>
    <t>Tipo de cliente</t>
  </si>
  <si>
    <t>Valida en maestro, tipo de clientes</t>
  </si>
  <si>
    <t>f461_id_co_fact</t>
  </si>
  <si>
    <t>Centro de operación de la factura</t>
  </si>
  <si>
    <t>f461_id_cli_contado</t>
  </si>
  <si>
    <t>Cliente de contado</t>
  </si>
  <si>
    <t>Valida en maestro, clientes ocasional</t>
  </si>
  <si>
    <t>f461_id_tercero_rem</t>
  </si>
  <si>
    <t>Tercero cliente a remisionar</t>
  </si>
  <si>
    <t>f461_id_sucursal_rem</t>
  </si>
  <si>
    <t>Sucursal del cliente a remisionar</t>
  </si>
  <si>
    <t>f461_id_tercero_vendedor</t>
  </si>
  <si>
    <t>Tercero vendedor</t>
  </si>
  <si>
    <t>Valida en maestro, código de tercero vendedor</t>
  </si>
  <si>
    <t>f461_referencia</t>
  </si>
  <si>
    <t>Referencia documento</t>
  </si>
  <si>
    <t>f461_num_docto_referencia</t>
  </si>
  <si>
    <t>Numero orden de compra</t>
  </si>
  <si>
    <t>f461_id_cargue</t>
  </si>
  <si>
    <t>Numero de cargue</t>
  </si>
  <si>
    <t>Valida en maestro, Cargues</t>
  </si>
  <si>
    <t>f461_id_cond_pago</t>
  </si>
  <si>
    <t>Valida en maestro, condiciones de pago</t>
  </si>
  <si>
    <t>f461_id_moneda_docto</t>
  </si>
  <si>
    <t>Moneda del documento</t>
  </si>
  <si>
    <t>Valida en maestro, código de moneda del documento</t>
  </si>
  <si>
    <t>f461_id_moneda_conv</t>
  </si>
  <si>
    <t>Moneda base de conversión</t>
  </si>
  <si>
    <t xml:space="preserve">Valida en maestro, código de moneda base definida en la compañía. </t>
  </si>
  <si>
    <t>f461_tasa_conv</t>
  </si>
  <si>
    <t>Tasa de conversión</t>
  </si>
  <si>
    <t>Coloque 1 si la moneda del documento es igual a la moneda local o a la moneda base de conversion de lo contrario coloque la tasa de conversion.
El formato debe ser (8 enteros + punto + 4 decimales) (00000000.0000)</t>
  </si>
  <si>
    <t>f461_id_moneda_local</t>
  </si>
  <si>
    <t>Moneda local</t>
  </si>
  <si>
    <t>Valida en maestro, código de moneda local definida en la compañía.</t>
  </si>
  <si>
    <t>f461_tasa_local</t>
  </si>
  <si>
    <t xml:space="preserve">Tasa local </t>
  </si>
  <si>
    <t>Coloque 1 si la moneda del documento es igual a la moneda local de lo contrario coloque la tasa de cambio.
El formato debe ser (8 enteros + punto + 4 decimales) (00000000.0000)</t>
  </si>
  <si>
    <t>f461_notas</t>
  </si>
  <si>
    <t>Observaciones del documento</t>
  </si>
  <si>
    <t>Observaciones</t>
  </si>
  <si>
    <t>f461_id_punto_envio</t>
  </si>
  <si>
    <t>Punto de envio</t>
  </si>
  <si>
    <t>Valida en maestro de puntos de envio del cliente</t>
  </si>
  <si>
    <t>F_IND_CONTACTO</t>
  </si>
  <si>
    <t>Indicador de contacto</t>
  </si>
  <si>
    <t>0=Respeta la información del contacto contenida en el archivo plano.
1=Al importar el sistema lee el contacto automaticamente del punto de envio</t>
  </si>
  <si>
    <t>f419_contacto</t>
  </si>
  <si>
    <t>Contacto</t>
  </si>
  <si>
    <t>Obligatorio si el indicador de contacto es 0. Nombre de la persona de contacto</t>
  </si>
  <si>
    <t>f419_direccion1</t>
  </si>
  <si>
    <t>Direccion 1</t>
  </si>
  <si>
    <t>Obligatorio si el indicador de contacto es 0. Renglón 1 de la dirección del contacto</t>
  </si>
  <si>
    <t>f419_direccion2</t>
  </si>
  <si>
    <t>Direccion 2</t>
  </si>
  <si>
    <t>Renglón 2 de la dirección del contacto</t>
  </si>
  <si>
    <t>f419_direccion3</t>
  </si>
  <si>
    <t>Direccion 3</t>
  </si>
  <si>
    <t>Renglón 3 de la dirección del contacto</t>
  </si>
  <si>
    <t>f419_id_pais</t>
  </si>
  <si>
    <t>Pais</t>
  </si>
  <si>
    <t>Valida en maestro, código del país</t>
  </si>
  <si>
    <t>f419_id_depto</t>
  </si>
  <si>
    <t>Departamento/Estado</t>
  </si>
  <si>
    <t>Obligatorio si el indicador de contacto es 0 y reportan codigo de pais. Valida en maestro, código del departamento</t>
  </si>
  <si>
    <t>f419_id_ciudad</t>
  </si>
  <si>
    <t>Ciudad</t>
  </si>
  <si>
    <t>Obligatorio si el indicador de contacto es 0 y reportan codigo de Departamento.Valida en maestro, código de la ciudad</t>
  </si>
  <si>
    <t>f419_id_barrio</t>
  </si>
  <si>
    <t>Barrio</t>
  </si>
  <si>
    <t xml:space="preserve">Barrio </t>
  </si>
  <si>
    <t>f419_telefono</t>
  </si>
  <si>
    <t>Telefono</t>
  </si>
  <si>
    <t>Teléfono</t>
  </si>
  <si>
    <t>f419_fax</t>
  </si>
  <si>
    <t>Fax</t>
  </si>
  <si>
    <t>f419_cod_postal</t>
  </si>
  <si>
    <t>Codigo postal</t>
  </si>
  <si>
    <t>código postal o apartado aéreo</t>
  </si>
  <si>
    <t>f419_email</t>
  </si>
  <si>
    <t>E-Mail</t>
  </si>
  <si>
    <t>dirección de correo electrónico</t>
  </si>
  <si>
    <t xml:space="preserve">f462_id_caja  </t>
  </si>
  <si>
    <t>Caja de recaudo</t>
  </si>
  <si>
    <t>Obligatoria si hay recaudos</t>
  </si>
  <si>
    <t>F461_IND_GENERA_KIT</t>
  </si>
  <si>
    <t>Genera Kit</t>
  </si>
  <si>
    <t>0 = No                                                                           1 = Si solo para las clase 520 y 522                             2 = Si solo para las clase 520,522 y primer nivel.</t>
  </si>
  <si>
    <t>F461_ID_TIPO_DOCTO_PROCESO</t>
  </si>
  <si>
    <t>Tipo de documento de proceso</t>
  </si>
  <si>
    <t xml:space="preserve">Valida contra el maestro, debe estar habilitado para procesos, obligatorio si F461_IND_GENERA_KIT &lt;&gt; 0 </t>
  </si>
  <si>
    <t>F461_ID_BODEGA_COMPON_PROCESO</t>
  </si>
  <si>
    <t>Bodega de componentes del kit</t>
  </si>
  <si>
    <t xml:space="preserve">Valida contra el maestro, Valor fijo 070, obligatorio si F461_IND_GENERA_KIT &lt;&gt; 0 </t>
  </si>
  <si>
    <t>F461_ID_MOTIVO_SALIDA_PROCESO</t>
  </si>
  <si>
    <t>Motivo de salida proceso</t>
  </si>
  <si>
    <t xml:space="preserve">Valida contra el maestro, obligatorio si F461_IND_GENERA_KIT &lt;&gt; 0 </t>
  </si>
  <si>
    <t>F461_ID_MOTIVO_ENTRADA_PROCESO</t>
  </si>
  <si>
    <t>Motivo de entrada proceso</t>
  </si>
  <si>
    <t>F461_ID_CLASE_DOCTO_PROCESO</t>
  </si>
  <si>
    <t>Clase de documento proceso</t>
  </si>
  <si>
    <t xml:space="preserve">Valor fijo 070, obligatorio si F461_IND_GENERA_KIT &lt;&gt; 0 </t>
  </si>
  <si>
    <t>F461_ID_UN_CXC</t>
  </si>
  <si>
    <t>Unidad de negocio del documento de cruce.</t>
  </si>
  <si>
    <t>Valida en maestro, código de unidad de negocio del documento. Va si se desea que esta unidad de negocio quede en la factura o anticipo generado, sino toma el del tipo de cliente.</t>
  </si>
  <si>
    <t>F461_ID_CCOSTO_CXC</t>
  </si>
  <si>
    <t>C.Costo del documento de cruce.</t>
  </si>
  <si>
    <t>Valida en maestro, código de C.Costo del documento. Va si se desea que esta unidad de negocio quede en la factura o anticipo generado, sino toma el del tipo de cliente.</t>
  </si>
  <si>
    <t>DOCUMENTO DE INVENTARIOS DE VENTAS DESDE 1.10.414 SOLO PARA VERSIÓN 2 DE DOCUMENTO</t>
  </si>
  <si>
    <t>Version = 11</t>
  </si>
  <si>
    <t>Epacios</t>
  </si>
  <si>
    <t>Llenar espacios</t>
  </si>
  <si>
    <t>Valida en maestro, código de bodega</t>
  </si>
  <si>
    <t>Valida en maestro, obligatorio si la bodega maneja ubiaciones</t>
  </si>
  <si>
    <t>Valida en maestro, obligatorio si el item y la bodega manejan lotes</t>
  </si>
  <si>
    <t>501=Ventas (clases 520 y 520)
502=Devoluciones (clases 521 y 525)</t>
  </si>
  <si>
    <t>Motivo</t>
  </si>
  <si>
    <t>Indicador de obsequio</t>
  </si>
  <si>
    <t>Indicador de obsequio 0=No, 1=Si</t>
  </si>
  <si>
    <t>Valida en maestro, código de unidad de medida en que se encuentra el precio, normalmente es la misma unidad de captura pero cuando hay unidad adicional es importante definir en cual de las dos unidades se encuentra el precio</t>
  </si>
  <si>
    <t>Valida en maestro, código de unidad de medida del movimiento</t>
  </si>
  <si>
    <t>Solo valor</t>
  </si>
  <si>
    <t>Se valida con el indicador de solo valor del motivo. Debe ser 0=No; 1=Si, si es 1 los campos f470_cant_base y f470_cant_2 debe ser igual a 0.</t>
  </si>
  <si>
    <t>Impuestos asumidos</t>
  </si>
  <si>
    <t>Se valida con el indicador de impuestos asumidos del  motivo. Debe ser 0=No liquida; 1=Asume compañía, 2=Asume cliente. Si el indicador es 1 o 2 el f470_vlr_bruto debe ser diferente de 0.</t>
  </si>
  <si>
    <t>Descripción del item</t>
  </si>
  <si>
    <t xml:space="preserve">Si tiene algún valor  el sistema al importar el registro valida que la descripción del item sea idem al de la base de datos. </t>
  </si>
  <si>
    <t>Unidad de medida de inventario del item.</t>
  </si>
  <si>
    <t xml:space="preserve">Si tiene algún valor  el sistema al importar el registro valida que la unidad de inventario del item sea idem al de la base de datos. </t>
  </si>
  <si>
    <t>f470_id_causal_devol</t>
  </si>
  <si>
    <t>02</t>
  </si>
  <si>
    <t>1</t>
  </si>
  <si>
    <t>522</t>
  </si>
  <si>
    <t>COP</t>
  </si>
  <si>
    <t>0</t>
  </si>
  <si>
    <t>11</t>
  </si>
  <si>
    <t>FVS</t>
  </si>
  <si>
    <t>PT001</t>
  </si>
  <si>
    <t xml:space="preserve">UND </t>
  </si>
  <si>
    <t>002</t>
  </si>
  <si>
    <t>Arriendo</t>
  </si>
  <si>
    <t>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</si>
</sst>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color indexed="8"/>
      <name val="Arial"/>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0"/>
      <name val="Arial"/>
      <family val="2"/>
    </font>
    <font>
      <b/>
      <sz val="8"/>
      <name val="Arial"/>
      <family val="2"/>
    </font>
    <font>
      <sz val="8"/>
      <name val="Arial"/>
      <family val="2"/>
    </font>
    <font>
      <b/>
      <sz val="12"/>
      <name val="Arial"/>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249977111117893"/>
        <bgColor indexed="64"/>
      </patternFill>
    </fill>
    <fill>
      <patternFill patternType="solid">
        <fgColor indexed="49"/>
        <bgColor indexed="64"/>
      </patternFill>
    </fill>
    <fill>
      <patternFill patternType="solid">
        <fgColor indexed="47"/>
        <bgColor indexed="64"/>
      </patternFill>
    </fill>
    <fill>
      <patternFill patternType="solid">
        <fgColor indexed="15"/>
        <bgColor indexed="64"/>
      </patternFill>
    </fill>
    <fill>
      <patternFill patternType="solid">
        <fgColor rgb="FFFFFF00"/>
        <bgColor indexed="64"/>
      </patternFill>
    </fill>
  </fills>
  <borders count="16">
    <border>
      <left/>
      <right/>
      <top/>
      <bottom/>
      <diagonal/>
    </border>
    <border>
      <left style="medium">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5">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6" fillId="20" borderId="0" applyNumberFormat="0" applyBorder="0" applyAlignment="0" applyProtection="0"/>
    <xf numFmtId="0" fontId="17" fillId="21" borderId="2" applyNumberFormat="0" applyAlignment="0" applyProtection="0"/>
    <xf numFmtId="0" fontId="18" fillId="22" borderId="3" applyNumberFormat="0" applyAlignment="0" applyProtection="0"/>
    <xf numFmtId="0" fontId="19" fillId="0" borderId="4" applyNumberFormat="0" applyFill="0" applyAlignment="0" applyProtection="0"/>
    <xf numFmtId="0" fontId="20" fillId="0" borderId="0" applyNumberFormat="0" applyFill="0" applyBorder="0" applyAlignment="0" applyProtection="0"/>
    <xf numFmtId="0" fontId="15" fillId="23"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15" fillId="26" borderId="0" applyNumberFormat="0" applyBorder="0" applyAlignment="0" applyProtection="0"/>
    <xf numFmtId="0" fontId="15" fillId="27" borderId="0" applyNumberFormat="0" applyBorder="0" applyAlignment="0" applyProtection="0"/>
    <xf numFmtId="0" fontId="15" fillId="28" borderId="0" applyNumberFormat="0" applyBorder="0" applyAlignment="0" applyProtection="0"/>
    <xf numFmtId="0" fontId="21" fillId="29" borderId="2" applyNumberFormat="0" applyAlignment="0" applyProtection="0"/>
    <xf numFmtId="0" fontId="22" fillId="30" borderId="0" applyNumberFormat="0" applyBorder="0" applyAlignment="0" applyProtection="0"/>
    <xf numFmtId="0" fontId="23" fillId="31" borderId="0" applyNumberFormat="0" applyBorder="0" applyAlignment="0" applyProtection="0"/>
    <xf numFmtId="0" fontId="14" fillId="0" borderId="0"/>
    <xf numFmtId="0" fontId="14" fillId="32" borderId="5" applyNumberFormat="0" applyFont="0" applyAlignment="0" applyProtection="0"/>
    <xf numFmtId="0" fontId="24" fillId="21" borderId="6"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7" applyNumberFormat="0" applyFill="0" applyAlignment="0" applyProtection="0"/>
    <xf numFmtId="0" fontId="29" fillId="0" borderId="8" applyNumberFormat="0" applyFill="0" applyAlignment="0" applyProtection="0"/>
    <xf numFmtId="0" fontId="20" fillId="0" borderId="9" applyNumberFormat="0" applyFill="0" applyAlignment="0" applyProtection="0"/>
    <xf numFmtId="0" fontId="30" fillId="0" borderId="10" applyNumberFormat="0" applyFill="0" applyAlignment="0" applyProtection="0"/>
    <xf numFmtId="0" fontId="10" fillId="0" borderId="0"/>
    <xf numFmtId="0" fontId="9"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0" borderId="0"/>
    <xf numFmtId="0" fontId="8" fillId="32" borderId="5" applyNumberFormat="0" applyFont="0" applyAlignment="0" applyProtection="0"/>
    <xf numFmtId="0" fontId="8" fillId="0" borderId="0"/>
    <xf numFmtId="0" fontId="8" fillId="0" borderId="0"/>
    <xf numFmtId="9" fontId="8" fillId="0" borderId="0" applyFont="0" applyFill="0" applyBorder="0" applyAlignment="0" applyProtection="0"/>
    <xf numFmtId="0" fontId="7" fillId="0" borderId="0"/>
    <xf numFmtId="0" fontId="6" fillId="0" borderId="0"/>
    <xf numFmtId="0" fontId="6" fillId="0" borderId="0"/>
    <xf numFmtId="0" fontId="31"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cellStyleXfs>
  <cellXfs count="62">
    <xf numFmtId="0" fontId="0" fillId="0" borderId="0" xfId="0"/>
    <xf numFmtId="49" fontId="0" fillId="0" borderId="0" xfId="0" applyNumberFormat="1" applyProtection="1">
      <protection locked="0"/>
    </xf>
    <xf numFmtId="49" fontId="0" fillId="0" borderId="0" xfId="0" applyNumberFormat="1"/>
    <xf numFmtId="49" fontId="0" fillId="0" borderId="0" xfId="0" applyNumberFormat="1" applyAlignment="1" applyProtection="1">
      <alignment horizontal="center"/>
      <protection locked="0"/>
    </xf>
    <xf numFmtId="0" fontId="0" fillId="0" borderId="0" xfId="0" applyAlignment="1" applyProtection="1">
      <alignment horizontal="center"/>
      <protection locked="0"/>
    </xf>
    <xf numFmtId="49" fontId="12" fillId="0" borderId="0" xfId="0" applyNumberFormat="1" applyFont="1"/>
    <xf numFmtId="0" fontId="0" fillId="0" borderId="0" xfId="0" applyProtection="1">
      <protection locked="0"/>
    </xf>
    <xf numFmtId="49" fontId="0" fillId="0" borderId="0" xfId="0" quotePrefix="1" applyNumberFormat="1" applyProtection="1">
      <protection locked="0"/>
    </xf>
    <xf numFmtId="164" fontId="0" fillId="0" borderId="0" xfId="0" applyNumberFormat="1" applyProtection="1">
      <protection locked="0"/>
    </xf>
    <xf numFmtId="49" fontId="12" fillId="0" borderId="0" xfId="0" applyNumberFormat="1" applyFont="1" applyProtection="1">
      <protection locked="0"/>
    </xf>
    <xf numFmtId="0" fontId="11" fillId="0" borderId="0" xfId="0" applyFont="1" applyProtection="1">
      <protection locked="0"/>
    </xf>
    <xf numFmtId="49" fontId="6" fillId="0" borderId="0" xfId="63" applyNumberFormat="1"/>
    <xf numFmtId="49" fontId="11" fillId="0" borderId="0" xfId="0" applyNumberFormat="1" applyFont="1"/>
    <xf numFmtId="0" fontId="32" fillId="0" borderId="0" xfId="0" applyFont="1" applyAlignment="1">
      <alignment horizontal="center" vertical="center" wrapText="1"/>
    </xf>
    <xf numFmtId="0" fontId="0" fillId="0" borderId="0" xfId="0" applyAlignment="1">
      <alignment wrapText="1"/>
    </xf>
    <xf numFmtId="0" fontId="32" fillId="0" borderId="0" xfId="0" applyFont="1" applyAlignment="1">
      <alignment horizontal="center" vertical="center"/>
    </xf>
    <xf numFmtId="0" fontId="12" fillId="33" borderId="1" xfId="0" applyFont="1" applyFill="1" applyBorder="1" applyAlignment="1">
      <alignment horizontal="center" wrapText="1"/>
    </xf>
    <xf numFmtId="0" fontId="12" fillId="33" borderId="1" xfId="0" applyFont="1" applyFill="1" applyBorder="1" applyAlignment="1">
      <alignment horizontal="center"/>
    </xf>
    <xf numFmtId="0" fontId="12" fillId="33" borderId="12" xfId="0" applyFont="1" applyFill="1" applyBorder="1" applyAlignment="1">
      <alignment horizontal="center"/>
    </xf>
    <xf numFmtId="0" fontId="33" fillId="0" borderId="0" xfId="0" applyFont="1"/>
    <xf numFmtId="0" fontId="33" fillId="0" borderId="0" xfId="0" applyFont="1" applyAlignment="1">
      <alignment vertical="center"/>
    </xf>
    <xf numFmtId="0" fontId="33" fillId="0" borderId="0" xfId="0" applyFont="1" applyAlignment="1">
      <alignment vertical="center" wrapText="1"/>
    </xf>
    <xf numFmtId="0" fontId="33" fillId="0" borderId="0" xfId="0" applyFont="1" applyAlignment="1">
      <alignment horizontal="right" vertical="center"/>
    </xf>
    <xf numFmtId="0" fontId="32" fillId="34" borderId="11" xfId="0" applyFont="1" applyFill="1" applyBorder="1" applyAlignment="1">
      <alignment horizontal="center" vertical="center"/>
    </xf>
    <xf numFmtId="0" fontId="32" fillId="34" borderId="11" xfId="0" applyFont="1" applyFill="1" applyBorder="1" applyAlignment="1">
      <alignment horizontal="center" vertical="center" wrapText="1"/>
    </xf>
    <xf numFmtId="0" fontId="32" fillId="0" borderId="11" xfId="0" applyFont="1" applyBorder="1" applyAlignment="1">
      <alignment vertical="center"/>
    </xf>
    <xf numFmtId="0" fontId="33" fillId="0" borderId="11" xfId="0" applyFont="1" applyBorder="1" applyAlignment="1">
      <alignment vertical="center" wrapText="1"/>
    </xf>
    <xf numFmtId="0" fontId="33" fillId="0" borderId="11" xfId="0" applyFont="1" applyBorder="1" applyAlignment="1">
      <alignment horizontal="center" vertical="center"/>
    </xf>
    <xf numFmtId="0" fontId="33" fillId="0" borderId="11" xfId="0" applyFont="1" applyBorder="1" applyAlignment="1">
      <alignment horizontal="right" vertical="center"/>
    </xf>
    <xf numFmtId="0" fontId="32" fillId="0" borderId="0" xfId="0" applyFont="1" applyAlignment="1">
      <alignment vertical="center"/>
    </xf>
    <xf numFmtId="49" fontId="33" fillId="0" borderId="11" xfId="0" applyNumberFormat="1" applyFont="1" applyBorder="1" applyAlignment="1">
      <alignment vertical="center" wrapText="1"/>
    </xf>
    <xf numFmtId="0" fontId="32" fillId="0" borderId="11" xfId="0" applyFont="1" applyBorder="1" applyAlignment="1">
      <alignment vertical="center" wrapText="1"/>
    </xf>
    <xf numFmtId="0" fontId="33" fillId="0" borderId="0" xfId="0" applyFont="1" applyAlignment="1">
      <alignment horizontal="center" vertical="center"/>
    </xf>
    <xf numFmtId="49" fontId="33" fillId="0" borderId="0" xfId="0" applyNumberFormat="1" applyFont="1" applyAlignment="1">
      <alignment vertical="center" wrapText="1"/>
    </xf>
    <xf numFmtId="49" fontId="32" fillId="34" borderId="11" xfId="0" applyNumberFormat="1" applyFont="1" applyFill="1" applyBorder="1" applyAlignment="1">
      <alignment horizontal="center" vertical="center" wrapText="1"/>
    </xf>
    <xf numFmtId="2" fontId="33" fillId="0" borderId="11" xfId="0" applyNumberFormat="1" applyFont="1" applyBorder="1" applyAlignment="1">
      <alignment vertical="center" wrapText="1"/>
    </xf>
    <xf numFmtId="0" fontId="32" fillId="0" borderId="0" xfId="0" applyFont="1"/>
    <xf numFmtId="0" fontId="11" fillId="0" borderId="0" xfId="0" applyFont="1"/>
    <xf numFmtId="49" fontId="4" fillId="0" borderId="0" xfId="63" applyNumberFormat="1" applyFont="1"/>
    <xf numFmtId="0" fontId="12" fillId="37" borderId="1" xfId="0" applyFont="1" applyFill="1" applyBorder="1" applyAlignment="1">
      <alignment horizontal="center" wrapText="1"/>
    </xf>
    <xf numFmtId="0" fontId="12" fillId="37" borderId="1" xfId="0" applyFont="1" applyFill="1" applyBorder="1" applyAlignment="1">
      <alignment horizontal="center"/>
    </xf>
    <xf numFmtId="0" fontId="12" fillId="37" borderId="12" xfId="0" applyFont="1" applyFill="1" applyBorder="1" applyAlignment="1">
      <alignment horizontal="center"/>
    </xf>
    <xf numFmtId="0" fontId="33" fillId="0" borderId="11" xfId="0" applyFont="1" applyBorder="1"/>
    <xf numFmtId="0" fontId="32" fillId="0" borderId="11" xfId="0" applyFont="1" applyBorder="1"/>
    <xf numFmtId="49" fontId="3" fillId="0" borderId="0" xfId="63" applyNumberFormat="1" applyFont="1"/>
    <xf numFmtId="49" fontId="11" fillId="0" borderId="0" xfId="0" applyNumberFormat="1" applyFont="1" applyProtection="1">
      <protection locked="0"/>
    </xf>
    <xf numFmtId="49" fontId="2" fillId="0" borderId="0" xfId="63" applyNumberFormat="1" applyFont="1"/>
    <xf numFmtId="49" fontId="12" fillId="33" borderId="1" xfId="0" applyNumberFormat="1" applyFont="1" applyFill="1" applyBorder="1" applyAlignment="1">
      <alignment horizontal="center" wrapText="1"/>
    </xf>
    <xf numFmtId="49" fontId="12" fillId="33" borderId="1" xfId="0" applyNumberFormat="1" applyFont="1" applyFill="1" applyBorder="1" applyAlignment="1">
      <alignment horizontal="center"/>
    </xf>
    <xf numFmtId="49" fontId="12" fillId="33" borderId="12" xfId="0" applyNumberFormat="1" applyFont="1" applyFill="1" applyBorder="1" applyAlignment="1">
      <alignment horizontal="center"/>
    </xf>
    <xf numFmtId="49" fontId="1" fillId="0" borderId="0" xfId="63" applyNumberFormat="1" applyFont="1"/>
    <xf numFmtId="1" fontId="0" fillId="0" borderId="0" xfId="0" applyNumberFormat="1"/>
    <xf numFmtId="49" fontId="13" fillId="0" borderId="0" xfId="0" applyNumberFormat="1" applyFont="1" applyAlignment="1" applyProtection="1">
      <alignment horizontal="left"/>
      <protection locked="0"/>
    </xf>
    <xf numFmtId="0" fontId="34" fillId="0" borderId="0" xfId="0" applyFont="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32" fillId="35" borderId="11" xfId="0" applyFont="1" applyFill="1" applyBorder="1" applyAlignment="1">
      <alignment horizontal="center" vertical="center"/>
    </xf>
    <xf numFmtId="0" fontId="32" fillId="36" borderId="11" xfId="0" applyFont="1" applyFill="1" applyBorder="1" applyAlignment="1">
      <alignment vertical="center" wrapText="1"/>
    </xf>
    <xf numFmtId="0" fontId="12" fillId="36" borderId="11" xfId="0" applyFont="1" applyFill="1" applyBorder="1" applyAlignment="1">
      <alignment vertical="center" wrapText="1"/>
    </xf>
    <xf numFmtId="0" fontId="32" fillId="35" borderId="13" xfId="0" applyFont="1" applyFill="1" applyBorder="1" applyAlignment="1">
      <alignment horizontal="center" vertical="center"/>
    </xf>
    <xf numFmtId="0" fontId="32" fillId="35" borderId="14" xfId="0" applyFont="1" applyFill="1" applyBorder="1" applyAlignment="1">
      <alignment horizontal="center" vertical="center"/>
    </xf>
    <xf numFmtId="0" fontId="32" fillId="35" borderId="15" xfId="0" applyFont="1" applyFill="1" applyBorder="1" applyAlignment="1">
      <alignment horizontal="center" vertical="center"/>
    </xf>
  </cellXfs>
  <cellStyles count="75">
    <cellStyle name="20% - Énfasis1" xfId="1" builtinId="30" customBuiltin="1"/>
    <cellStyle name="20% - Énfasis1 2" xfId="45" xr:uid="{00000000-0005-0000-0000-000001000000}"/>
    <cellStyle name="20% - Énfasis2" xfId="2" builtinId="34" customBuiltin="1"/>
    <cellStyle name="20% - Énfasis2 2" xfId="46" xr:uid="{00000000-0005-0000-0000-000003000000}"/>
    <cellStyle name="20% - Énfasis3" xfId="3" builtinId="38" customBuiltin="1"/>
    <cellStyle name="20% - Énfasis3 2" xfId="47" xr:uid="{00000000-0005-0000-0000-000005000000}"/>
    <cellStyle name="20% - Énfasis4" xfId="4" builtinId="42" customBuiltin="1"/>
    <cellStyle name="20% - Énfasis4 2" xfId="48" xr:uid="{00000000-0005-0000-0000-000007000000}"/>
    <cellStyle name="20% - Énfasis5" xfId="5" builtinId="46" customBuiltin="1"/>
    <cellStyle name="20% - Énfasis5 2" xfId="49" xr:uid="{00000000-0005-0000-0000-000009000000}"/>
    <cellStyle name="20% - Énfasis6" xfId="6" builtinId="50" customBuiltin="1"/>
    <cellStyle name="20% - Énfasis6 2" xfId="50" xr:uid="{00000000-0005-0000-0000-00000B000000}"/>
    <cellStyle name="40% - Énfasis1" xfId="7" builtinId="31" customBuiltin="1"/>
    <cellStyle name="40% - Énfasis1 2" xfId="51" xr:uid="{00000000-0005-0000-0000-00000D000000}"/>
    <cellStyle name="40% - Énfasis2" xfId="8" builtinId="35" customBuiltin="1"/>
    <cellStyle name="40% - Énfasis2 2" xfId="52" xr:uid="{00000000-0005-0000-0000-00000F000000}"/>
    <cellStyle name="40% - Énfasis3" xfId="9" builtinId="39" customBuiltin="1"/>
    <cellStyle name="40% - Énfasis3 2" xfId="53" xr:uid="{00000000-0005-0000-0000-000011000000}"/>
    <cellStyle name="40% - Énfasis4" xfId="10" builtinId="43" customBuiltin="1"/>
    <cellStyle name="40% - Énfasis4 2" xfId="54" xr:uid="{00000000-0005-0000-0000-000013000000}"/>
    <cellStyle name="40% - Énfasis5" xfId="11" builtinId="47" customBuiltin="1"/>
    <cellStyle name="40% - Énfasis5 2" xfId="55" xr:uid="{00000000-0005-0000-0000-000015000000}"/>
    <cellStyle name="40% - Énfasis6" xfId="12" builtinId="51" customBuiltin="1"/>
    <cellStyle name="40% - Énfasis6 2" xfId="56" xr:uid="{00000000-0005-0000-0000-000017000000}"/>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39"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Incorrecto" xfId="31" builtinId="27" customBuiltin="1"/>
    <cellStyle name="Neutral" xfId="32" builtinId="28" customBuiltin="1"/>
    <cellStyle name="Normal" xfId="0" builtinId="0"/>
    <cellStyle name="Normal 10" xfId="65" xr:uid="{00000000-0005-0000-0000-00002E000000}"/>
    <cellStyle name="Normal 11" xfId="73" xr:uid="{00000000-0005-0000-0000-00002F000000}"/>
    <cellStyle name="Normal 2" xfId="33" xr:uid="{00000000-0005-0000-0000-000030000000}"/>
    <cellStyle name="Normal 2 2" xfId="57" xr:uid="{00000000-0005-0000-0000-000031000000}"/>
    <cellStyle name="Normal 2 2 2" xfId="66" xr:uid="{00000000-0005-0000-0000-000032000000}"/>
    <cellStyle name="Normal 3" xfId="43" xr:uid="{00000000-0005-0000-0000-000033000000}"/>
    <cellStyle name="Normal 3 2" xfId="59" xr:uid="{00000000-0005-0000-0000-000034000000}"/>
    <cellStyle name="Normal 3 2 2" xfId="68" xr:uid="{00000000-0005-0000-0000-000035000000}"/>
    <cellStyle name="Normal 3 3" xfId="69" xr:uid="{00000000-0005-0000-0000-000036000000}"/>
    <cellStyle name="Normal 3 4" xfId="74" xr:uid="{00000000-0005-0000-0000-000037000000}"/>
    <cellStyle name="Normal 4" xfId="44" xr:uid="{00000000-0005-0000-0000-000038000000}"/>
    <cellStyle name="Normal 4 2" xfId="60" xr:uid="{00000000-0005-0000-0000-000039000000}"/>
    <cellStyle name="Normal 5" xfId="62" xr:uid="{00000000-0005-0000-0000-00003A000000}"/>
    <cellStyle name="Normal 6" xfId="63" xr:uid="{00000000-0005-0000-0000-00003B000000}"/>
    <cellStyle name="Normal 6 2" xfId="70" xr:uid="{00000000-0005-0000-0000-00003C000000}"/>
    <cellStyle name="Normal 7" xfId="64" xr:uid="{00000000-0005-0000-0000-00003D000000}"/>
    <cellStyle name="Normal 7 2" xfId="71" xr:uid="{00000000-0005-0000-0000-00003E000000}"/>
    <cellStyle name="Normal 8" xfId="67" xr:uid="{00000000-0005-0000-0000-00003F000000}"/>
    <cellStyle name="Normal 9" xfId="72" xr:uid="{00000000-0005-0000-0000-000040000000}"/>
    <cellStyle name="Notas 2" xfId="34" xr:uid="{00000000-0005-0000-0000-000041000000}"/>
    <cellStyle name="Notas 2 2" xfId="58" xr:uid="{00000000-0005-0000-0000-000042000000}"/>
    <cellStyle name="Porcentaje 2" xfId="61" xr:uid="{00000000-0005-0000-0000-000043000000}"/>
    <cellStyle name="Salida" xfId="35" builtinId="21" customBuiltin="1"/>
    <cellStyle name="Texto de advertencia" xfId="36" builtinId="11" customBuiltin="1"/>
    <cellStyle name="Texto explicativo" xfId="37" builtinId="53" customBuiltin="1"/>
    <cellStyle name="Título" xfId="38" builtinId="15" customBuiltin="1"/>
    <cellStyle name="Título 2" xfId="40" builtinId="17" customBuiltin="1"/>
    <cellStyle name="Título 3" xfId="41" builtinId="18" customBuiltin="1"/>
    <cellStyle name="Total" xfId="42" builtinId="25" customBuiltin="1"/>
  </cellStyles>
  <dxfs count="0"/>
  <tableStyles count="0" defaultTableStyle="TableStyleMedium9"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295275</xdr:colOff>
      <xdr:row>6</xdr:row>
      <xdr:rowOff>19050</xdr:rowOff>
    </xdr:from>
    <xdr:to>
      <xdr:col>1</xdr:col>
      <xdr:colOff>38100</xdr:colOff>
      <xdr:row>7</xdr:row>
      <xdr:rowOff>57150</xdr:rowOff>
    </xdr:to>
    <xdr:sp macro="" textlink="">
      <xdr:nvSpPr>
        <xdr:cNvPr id="29962" name="Text Box 20">
          <a:extLst>
            <a:ext uri="{FF2B5EF4-FFF2-40B4-BE49-F238E27FC236}">
              <a16:creationId xmlns:a16="http://schemas.microsoft.com/office/drawing/2014/main" id="{00000000-0008-0000-0000-00000A750000}"/>
            </a:ext>
          </a:extLst>
        </xdr:cNvPr>
        <xdr:cNvSpPr txBox="1">
          <a:spLocks noChangeArrowheads="1"/>
        </xdr:cNvSpPr>
      </xdr:nvSpPr>
      <xdr:spPr bwMode="auto">
        <a:xfrm>
          <a:off x="295275" y="990600"/>
          <a:ext cx="76200" cy="200025"/>
        </a:xfrm>
        <a:prstGeom prst="rect">
          <a:avLst/>
        </a:prstGeom>
        <a:noFill/>
        <a:ln w="9525">
          <a:noFill/>
          <a:miter lim="800000"/>
          <a:headEnd/>
          <a:tailEnd/>
        </a:ln>
      </xdr:spPr>
    </xdr:sp>
    <xdr:clientData/>
  </xdr:twoCellAnchor>
  <xdr:twoCellAnchor>
    <xdr:from>
      <xdr:col>1</xdr:col>
      <xdr:colOff>9525</xdr:colOff>
      <xdr:row>1</xdr:row>
      <xdr:rowOff>66675</xdr:rowOff>
    </xdr:from>
    <xdr:to>
      <xdr:col>9</xdr:col>
      <xdr:colOff>104775</xdr:colOff>
      <xdr:row>33</xdr:row>
      <xdr:rowOff>114300</xdr:rowOff>
    </xdr:to>
    <xdr:sp macro="" textlink="">
      <xdr:nvSpPr>
        <xdr:cNvPr id="1045" name="Text Box 21">
          <a:extLst>
            <a:ext uri="{FF2B5EF4-FFF2-40B4-BE49-F238E27FC236}">
              <a16:creationId xmlns:a16="http://schemas.microsoft.com/office/drawing/2014/main" id="{00000000-0008-0000-0000-000015040000}"/>
            </a:ext>
          </a:extLst>
        </xdr:cNvPr>
        <xdr:cNvSpPr txBox="1">
          <a:spLocks noChangeArrowheads="1"/>
        </xdr:cNvSpPr>
      </xdr:nvSpPr>
      <xdr:spPr bwMode="auto">
        <a:xfrm>
          <a:off x="342900" y="228600"/>
          <a:ext cx="5448300" cy="52292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s-ES" sz="1200" b="1" i="0" strike="noStrike">
              <a:solidFill>
                <a:srgbClr val="000000"/>
              </a:solidFill>
              <a:latin typeface="Bookman Old Style"/>
            </a:rPr>
            <a:t>GENERADOR DE ARCHIVOS PLANOS</a:t>
          </a:r>
        </a:p>
        <a:p>
          <a:pPr algn="l" rtl="0">
            <a:defRPr sz="1000"/>
          </a:pPr>
          <a:endParaRPr lang="es-ES" sz="1200" b="1" i="0" strike="noStrike">
            <a:solidFill>
              <a:srgbClr val="000000"/>
            </a:solidFill>
            <a:latin typeface="Bookman Old Style"/>
          </a:endParaRPr>
        </a:p>
        <a:p>
          <a:pPr algn="l" rtl="0">
            <a:defRPr sz="1000"/>
          </a:pPr>
          <a:r>
            <a:rPr lang="es-ES" sz="1200" b="0" i="0" strike="noStrike">
              <a:solidFill>
                <a:srgbClr val="000000"/>
              </a:solidFill>
              <a:latin typeface="Bookman Old Style"/>
            </a:rPr>
            <a:t>La presente Hoja Electronica, tiene como proposito la generacion de archivos planos (archivo.txt).</a:t>
          </a:r>
        </a:p>
        <a:p>
          <a:pPr algn="l" rtl="0">
            <a:defRPr sz="1000"/>
          </a:pPr>
          <a:endParaRPr lang="es-ES" sz="1200" b="0" i="0" strike="noStrike">
            <a:solidFill>
              <a:srgbClr val="000000"/>
            </a:solidFill>
            <a:latin typeface="Bookman Old Style"/>
          </a:endParaRPr>
        </a:p>
        <a:p>
          <a:pPr algn="l" rtl="0">
            <a:defRPr sz="1000"/>
          </a:pPr>
          <a:r>
            <a:rPr lang="es-ES" sz="1200" b="0" i="0" strike="noStrike">
              <a:solidFill>
                <a:srgbClr val="000000"/>
              </a:solidFill>
              <a:latin typeface="Bookman Old Style"/>
            </a:rPr>
            <a:t>En las hojas que continen la informacion, la primera fila corresponde al nombre del campo, la segunda fila corresponde al tipo de campo "Num" = Numerico y "Alf" = Alfabetico, la tercera fila corresponde a la longitud del campo.</a:t>
          </a:r>
        </a:p>
        <a:p>
          <a:pPr algn="l" rtl="0">
            <a:defRPr sz="1000"/>
          </a:pPr>
          <a:endParaRPr lang="es-ES" sz="1200" b="0" i="0" strike="noStrike">
            <a:solidFill>
              <a:srgbClr val="000000"/>
            </a:solidFill>
            <a:latin typeface="Bookman Old Style"/>
          </a:endParaRPr>
        </a:p>
        <a:p>
          <a:pPr algn="l" rtl="0">
            <a:defRPr sz="1000"/>
          </a:pPr>
          <a:r>
            <a:rPr lang="es-ES" sz="1200" b="0" i="0" strike="noStrike">
              <a:solidFill>
                <a:srgbClr val="000000"/>
              </a:solidFill>
              <a:latin typeface="Bookman Old Style"/>
            </a:rPr>
            <a:t>Si el campo esta marcado como "Num", su alineacion en el archivo plano sera a la derecha y se rellena con ceros, si el campo esta marcado como "Alf", su alineacion en el archivo plano sera a la izquierda.</a:t>
          </a:r>
        </a:p>
        <a:p>
          <a:pPr algn="l" rtl="0">
            <a:defRPr sz="1000"/>
          </a:pPr>
          <a:endParaRPr lang="es-ES" sz="1200" b="0" i="0" strike="noStrike">
            <a:solidFill>
              <a:srgbClr val="000000"/>
            </a:solidFill>
            <a:latin typeface="Bookman Old Style"/>
          </a:endParaRPr>
        </a:p>
        <a:p>
          <a:pPr algn="l" rtl="0">
            <a:defRPr sz="1000"/>
          </a:pPr>
          <a:r>
            <a:rPr lang="es-ES" sz="1200" b="0" i="0" strike="noStrike">
              <a:solidFill>
                <a:srgbClr val="000000"/>
              </a:solidFill>
              <a:latin typeface="Bookman Old Style"/>
            </a:rPr>
            <a:t>En el caso en que el tamaño de la informacion contenida en cada celda, exceda el tamaño del campo se generara un error, y se generara parcialmente el archivo plano, hasta donde se encontro el error, situacion que debe ser corregida en la hoja electronica y nuevamente proceder a generar el archivo plano.</a:t>
          </a:r>
        </a:p>
        <a:p>
          <a:pPr algn="l" rtl="0">
            <a:defRPr sz="1000"/>
          </a:pPr>
          <a:r>
            <a:rPr lang="es-ES" sz="1200" b="0" i="0" strike="noStrike">
              <a:solidFill>
                <a:srgbClr val="000000"/>
              </a:solidFill>
              <a:latin typeface="Bookman Old Style"/>
            </a:rPr>
            <a:t>Los Campos (columnas)marcados con color </a:t>
          </a:r>
          <a:r>
            <a:rPr lang="es-ES" sz="1200" b="0" i="0" strike="noStrike">
              <a:solidFill>
                <a:srgbClr val="FFFF00"/>
              </a:solidFill>
              <a:latin typeface="Bookman Old Style"/>
            </a:rPr>
            <a:t>XXXXX</a:t>
          </a:r>
          <a:r>
            <a:rPr lang="es-ES" sz="1200" b="0" i="0" strike="noStrike">
              <a:solidFill>
                <a:srgbClr val="000000"/>
              </a:solidFill>
              <a:latin typeface="Bookman Old Style"/>
            </a:rPr>
            <a:t> Son Fijos</a:t>
          </a:r>
        </a:p>
        <a:p>
          <a:pPr algn="l" rtl="0">
            <a:defRPr sz="1000"/>
          </a:pPr>
          <a:endParaRPr lang="es-ES" sz="1200" b="0" i="0" strike="noStrike">
            <a:solidFill>
              <a:srgbClr val="000000"/>
            </a:solidFill>
            <a:latin typeface="Bookman Old Style"/>
          </a:endParaRPr>
        </a:p>
        <a:p>
          <a:pPr algn="l" rtl="0">
            <a:defRPr sz="1000"/>
          </a:pPr>
          <a:endParaRPr lang="es-ES" sz="1200" b="0" i="0" strike="noStrike">
            <a:solidFill>
              <a:srgbClr val="000000"/>
            </a:solidFill>
            <a:latin typeface="Bookman Old Style"/>
          </a:endParaRPr>
        </a:p>
        <a:p>
          <a:pPr algn="l" rtl="0">
            <a:defRPr sz="1000"/>
          </a:pPr>
          <a:r>
            <a:rPr lang="es-ES" sz="1200" b="1" i="0" strike="noStrike">
              <a:solidFill>
                <a:srgbClr val="000000"/>
              </a:solidFill>
              <a:latin typeface="Bookman Old Style"/>
            </a:rPr>
            <a:t>NOMBRE APELLIDO</a:t>
          </a:r>
        </a:p>
        <a:p>
          <a:pPr algn="l" rtl="0">
            <a:defRPr sz="1000"/>
          </a:pPr>
          <a:r>
            <a:rPr lang="es-ES" sz="1200" b="1" i="0" strike="noStrike">
              <a:solidFill>
                <a:srgbClr val="000000"/>
              </a:solidFill>
              <a:latin typeface="Bookman Old Style"/>
            </a:rPr>
            <a:t>email: XXXXX -XXXXX@hotmail.com</a:t>
          </a:r>
        </a:p>
      </xdr:txBody>
    </xdr:sp>
    <xdr:clientData/>
  </xdr:twoCellAnchor>
  <mc:AlternateContent xmlns:mc="http://schemas.openxmlformats.org/markup-compatibility/2006">
    <mc:Choice xmlns:a14="http://schemas.microsoft.com/office/drawing/2010/main" Requires="a14">
      <xdr:twoCellAnchor editAs="oneCell">
        <xdr:from>
          <xdr:col>11</xdr:col>
          <xdr:colOff>85725</xdr:colOff>
          <xdr:row>0</xdr:row>
          <xdr:rowOff>133350</xdr:rowOff>
        </xdr:from>
        <xdr:to>
          <xdr:col>12</xdr:col>
          <xdr:colOff>76200</xdr:colOff>
          <xdr:row>2</xdr:row>
          <xdr:rowOff>123825</xdr:rowOff>
        </xdr:to>
        <xdr:sp macro="" textlink="">
          <xdr:nvSpPr>
            <xdr:cNvPr id="1025" name="XML"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352425</xdr:colOff>
      <xdr:row>0</xdr:row>
      <xdr:rowOff>57150</xdr:rowOff>
    </xdr:from>
    <xdr:to>
      <xdr:col>0</xdr:col>
      <xdr:colOff>1600200</xdr:colOff>
      <xdr:row>5</xdr:row>
      <xdr:rowOff>62852</xdr:rowOff>
    </xdr:to>
    <xdr:pic>
      <xdr:nvPicPr>
        <xdr:cNvPr id="3" name="Picture 1">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57150"/>
          <a:ext cx="1247775" cy="7962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352425</xdr:colOff>
      <xdr:row>1</xdr:row>
      <xdr:rowOff>57150</xdr:rowOff>
    </xdr:from>
    <xdr:to>
      <xdr:col>0</xdr:col>
      <xdr:colOff>1714500</xdr:colOff>
      <xdr:row>7</xdr:row>
      <xdr:rowOff>47625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200025"/>
          <a:ext cx="1362075"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M100"/>
  <sheetViews>
    <sheetView zoomScaleNormal="100" workbookViewId="0">
      <selection activeCell="L3" sqref="L3"/>
    </sheetView>
  </sheetViews>
  <sheetFormatPr baseColWidth="10" defaultColWidth="11.42578125" defaultRowHeight="12.75" x14ac:dyDescent="0.2"/>
  <cols>
    <col min="1" max="1" width="5" style="1" bestFit="1" customWidth="1"/>
    <col min="2" max="2" width="7.140625" style="1" bestFit="1" customWidth="1"/>
    <col min="3" max="3" width="7.85546875" style="1" bestFit="1" customWidth="1"/>
    <col min="4" max="4" width="7.28515625" style="1" bestFit="1" customWidth="1"/>
    <col min="5" max="5" width="9.28515625" style="1" bestFit="1" customWidth="1"/>
    <col min="6" max="6" width="18.42578125" style="1" bestFit="1" customWidth="1"/>
    <col min="7" max="8" width="10.140625" style="1" bestFit="1" customWidth="1"/>
    <col min="9" max="9" width="10" style="1" bestFit="1" customWidth="1"/>
    <col min="10" max="10" width="8.140625" style="1" bestFit="1" customWidth="1"/>
    <col min="11" max="16384" width="11.42578125" style="1"/>
  </cols>
  <sheetData>
    <row r="1" spans="1:10" s="2" customFormat="1" x14ac:dyDescent="0.2">
      <c r="A1" s="5"/>
      <c r="B1" s="5"/>
      <c r="C1" s="5"/>
      <c r="D1" s="5"/>
      <c r="E1" s="5"/>
      <c r="F1" s="5"/>
      <c r="G1" s="5"/>
      <c r="H1" s="5"/>
      <c r="I1" s="5"/>
      <c r="J1" s="5"/>
    </row>
    <row r="2" spans="1:10" x14ac:dyDescent="0.2">
      <c r="A2" s="6"/>
      <c r="B2" s="6"/>
      <c r="C2" s="6"/>
      <c r="D2" s="6"/>
      <c r="E2" s="6"/>
      <c r="I2" s="6"/>
      <c r="J2" s="6"/>
    </row>
    <row r="3" spans="1:10" x14ac:dyDescent="0.2">
      <c r="A3" s="7"/>
      <c r="F3" s="8"/>
    </row>
    <row r="9" spans="1:10" x14ac:dyDescent="0.2">
      <c r="A9" s="9"/>
      <c r="B9" s="9"/>
      <c r="C9" s="9"/>
    </row>
    <row r="10" spans="1:10" x14ac:dyDescent="0.2">
      <c r="B10" s="52"/>
      <c r="C10" s="52"/>
      <c r="D10" s="52"/>
      <c r="E10" s="52"/>
      <c r="F10" s="52"/>
      <c r="G10" s="52"/>
    </row>
    <row r="11" spans="1:10" x14ac:dyDescent="0.2">
      <c r="B11" s="52"/>
      <c r="C11" s="52"/>
      <c r="D11" s="52"/>
      <c r="E11" s="52"/>
      <c r="F11" s="52"/>
      <c r="G11" s="52"/>
    </row>
    <row r="12" spans="1:10" x14ac:dyDescent="0.2">
      <c r="B12" s="52"/>
      <c r="C12" s="52"/>
      <c r="D12" s="52"/>
      <c r="E12" s="52"/>
      <c r="F12" s="52"/>
      <c r="G12" s="52"/>
    </row>
    <row r="13" spans="1:10" x14ac:dyDescent="0.2">
      <c r="B13" s="52"/>
      <c r="C13" s="52"/>
      <c r="D13" s="52"/>
      <c r="E13" s="52"/>
      <c r="F13" s="52"/>
      <c r="G13" s="52"/>
    </row>
    <row r="14" spans="1:10" x14ac:dyDescent="0.2">
      <c r="B14" s="52"/>
      <c r="C14" s="52"/>
      <c r="D14" s="52"/>
      <c r="E14" s="52"/>
      <c r="F14" s="52"/>
      <c r="G14" s="52"/>
    </row>
    <row r="15" spans="1:10" x14ac:dyDescent="0.2">
      <c r="B15" s="52"/>
      <c r="C15" s="52"/>
      <c r="D15" s="52"/>
      <c r="E15" s="52"/>
      <c r="F15" s="52"/>
      <c r="G15" s="52"/>
    </row>
    <row r="16" spans="1:10" x14ac:dyDescent="0.2">
      <c r="A16" s="3"/>
      <c r="B16" s="3"/>
      <c r="C16" s="3"/>
      <c r="D16" s="3"/>
      <c r="E16" s="3"/>
      <c r="F16" s="3"/>
      <c r="G16" s="3"/>
      <c r="H16" s="3"/>
      <c r="I16" s="3"/>
      <c r="J16" s="3"/>
    </row>
    <row r="17" spans="1:13" x14ac:dyDescent="0.2">
      <c r="A17" s="3"/>
      <c r="B17" s="3"/>
      <c r="C17" s="3"/>
      <c r="D17" s="3"/>
      <c r="E17" s="3"/>
      <c r="F17" s="3"/>
      <c r="G17" s="3"/>
      <c r="H17" s="3"/>
      <c r="I17" s="3"/>
      <c r="J17" s="3"/>
    </row>
    <row r="18" spans="1:13" x14ac:dyDescent="0.2">
      <c r="A18" s="3"/>
      <c r="B18" s="3"/>
      <c r="C18" s="3"/>
      <c r="D18" s="3"/>
      <c r="E18" s="3"/>
      <c r="F18" s="3"/>
      <c r="G18" s="3"/>
      <c r="H18" s="3"/>
      <c r="I18" s="3"/>
      <c r="J18" s="3"/>
    </row>
    <row r="19" spans="1:13" x14ac:dyDescent="0.2">
      <c r="A19" s="3"/>
      <c r="B19" s="3"/>
      <c r="C19" s="3"/>
      <c r="D19" s="3"/>
      <c r="E19" s="3"/>
      <c r="F19" s="3"/>
      <c r="G19" s="3"/>
      <c r="H19" s="3"/>
      <c r="I19" s="3"/>
      <c r="J19" s="3"/>
      <c r="M19" s="10"/>
    </row>
    <row r="20" spans="1:13" x14ac:dyDescent="0.2">
      <c r="A20" s="3"/>
      <c r="B20" s="3"/>
      <c r="C20" s="3"/>
      <c r="D20" s="3"/>
      <c r="E20" s="3"/>
      <c r="F20" s="3"/>
      <c r="G20" s="3"/>
      <c r="H20" s="3"/>
      <c r="I20" s="3"/>
      <c r="J20" s="3"/>
    </row>
    <row r="21" spans="1:13" x14ac:dyDescent="0.2">
      <c r="A21" s="3"/>
      <c r="B21" s="3"/>
      <c r="C21" s="3"/>
      <c r="D21" s="3"/>
      <c r="E21" s="3"/>
      <c r="F21" s="3"/>
      <c r="G21" s="3"/>
      <c r="H21" s="3"/>
      <c r="I21" s="3"/>
      <c r="J21" s="3"/>
    </row>
    <row r="22" spans="1:13" x14ac:dyDescent="0.2">
      <c r="A22" s="3"/>
      <c r="B22" s="3"/>
      <c r="C22" s="3"/>
      <c r="D22" s="3"/>
      <c r="E22" s="3"/>
      <c r="F22" s="3"/>
      <c r="G22" s="3"/>
      <c r="H22" s="3"/>
      <c r="I22" s="3"/>
      <c r="J22" s="3"/>
    </row>
    <row r="23" spans="1:13" x14ac:dyDescent="0.2">
      <c r="A23" s="3"/>
      <c r="B23" s="3"/>
      <c r="C23" s="3"/>
      <c r="D23" s="3"/>
      <c r="E23" s="3"/>
      <c r="F23" s="4"/>
      <c r="G23" s="3"/>
      <c r="H23" s="3"/>
      <c r="I23" s="3"/>
      <c r="J23" s="3"/>
    </row>
    <row r="24" spans="1:13" x14ac:dyDescent="0.2">
      <c r="A24" s="3"/>
      <c r="B24" s="3"/>
      <c r="C24" s="3"/>
      <c r="D24" s="3"/>
      <c r="E24" s="3"/>
      <c r="F24" s="3"/>
      <c r="G24" s="3"/>
      <c r="H24" s="3"/>
      <c r="I24" s="3"/>
      <c r="J24" s="3"/>
    </row>
    <row r="25" spans="1:13" x14ac:dyDescent="0.2">
      <c r="A25" s="3"/>
      <c r="B25" s="3"/>
      <c r="C25" s="3"/>
      <c r="D25" s="3"/>
      <c r="E25" s="3"/>
      <c r="F25" s="3"/>
      <c r="G25" s="3"/>
      <c r="H25" s="3"/>
      <c r="I25" s="3"/>
      <c r="J25" s="3"/>
    </row>
    <row r="26" spans="1:13" x14ac:dyDescent="0.2">
      <c r="A26" s="3"/>
      <c r="B26" s="3"/>
      <c r="C26" s="3"/>
      <c r="D26" s="3"/>
      <c r="E26" s="3"/>
      <c r="F26" s="3"/>
      <c r="G26" s="3"/>
      <c r="H26" s="3"/>
      <c r="I26" s="3"/>
      <c r="J26" s="3"/>
    </row>
    <row r="27" spans="1:13" x14ac:dyDescent="0.2">
      <c r="A27" s="3"/>
      <c r="B27" s="3"/>
      <c r="C27" s="3"/>
      <c r="D27" s="3"/>
      <c r="E27" s="3"/>
      <c r="F27" s="3"/>
      <c r="G27" s="3"/>
      <c r="H27" s="3"/>
      <c r="I27" s="3"/>
      <c r="J27" s="3"/>
    </row>
    <row r="28" spans="1:13" x14ac:dyDescent="0.2">
      <c r="A28" s="3"/>
      <c r="B28" s="3"/>
      <c r="C28" s="3"/>
      <c r="D28" s="3"/>
      <c r="E28" s="3"/>
      <c r="F28" s="3"/>
      <c r="G28" s="3"/>
      <c r="H28" s="3"/>
      <c r="I28" s="3"/>
      <c r="J28" s="3"/>
    </row>
    <row r="29" spans="1:13" x14ac:dyDescent="0.2">
      <c r="A29" s="3"/>
      <c r="B29" s="3"/>
      <c r="C29" s="3"/>
      <c r="D29" s="3"/>
      <c r="E29" s="3"/>
      <c r="F29" s="3"/>
      <c r="G29" s="3"/>
      <c r="H29" s="3"/>
      <c r="I29" s="3"/>
      <c r="J29" s="3"/>
    </row>
    <row r="30" spans="1:13" x14ac:dyDescent="0.2">
      <c r="A30" s="3"/>
      <c r="B30" s="3"/>
      <c r="C30" s="3"/>
      <c r="D30" s="3"/>
      <c r="E30" s="3"/>
      <c r="F30" s="3"/>
      <c r="G30" s="3"/>
      <c r="H30" s="3"/>
      <c r="I30" s="3"/>
      <c r="J30" s="3"/>
    </row>
    <row r="31" spans="1:13" x14ac:dyDescent="0.2">
      <c r="A31" s="3"/>
      <c r="B31" s="3"/>
      <c r="C31" s="3"/>
      <c r="D31" s="3"/>
      <c r="E31" s="3"/>
      <c r="F31" s="3"/>
      <c r="G31" s="3"/>
      <c r="H31" s="3"/>
      <c r="I31" s="3"/>
      <c r="J31" s="3"/>
    </row>
    <row r="32" spans="1:13" x14ac:dyDescent="0.2">
      <c r="A32" s="3"/>
      <c r="B32" s="3"/>
      <c r="C32" s="3"/>
      <c r="D32" s="3"/>
      <c r="E32" s="3"/>
      <c r="F32" s="3"/>
      <c r="G32" s="3"/>
      <c r="H32" s="3"/>
      <c r="I32" s="3"/>
      <c r="J32" s="3"/>
    </row>
    <row r="33" spans="1:10" x14ac:dyDescent="0.2">
      <c r="A33" s="3"/>
      <c r="B33" s="3"/>
      <c r="C33" s="3"/>
      <c r="D33" s="3"/>
      <c r="E33" s="3"/>
      <c r="F33" s="3"/>
      <c r="G33" s="3"/>
      <c r="H33" s="3"/>
      <c r="I33" s="3"/>
      <c r="J33" s="3"/>
    </row>
    <row r="34" spans="1:10" x14ac:dyDescent="0.2">
      <c r="A34" s="3"/>
      <c r="B34" s="3"/>
      <c r="C34" s="3"/>
      <c r="D34" s="3"/>
      <c r="E34" s="3"/>
      <c r="F34" s="3"/>
      <c r="G34" s="3"/>
      <c r="H34" s="3"/>
      <c r="I34" s="3"/>
      <c r="J34" s="3"/>
    </row>
    <row r="35" spans="1:10" x14ac:dyDescent="0.2">
      <c r="A35" s="3"/>
      <c r="B35" s="3"/>
      <c r="C35" s="3"/>
      <c r="D35" s="3"/>
      <c r="E35" s="3"/>
      <c r="F35" s="3"/>
      <c r="G35" s="3"/>
      <c r="H35" s="3"/>
      <c r="I35" s="3"/>
      <c r="J35" s="3"/>
    </row>
    <row r="36" spans="1:10" x14ac:dyDescent="0.2">
      <c r="A36" s="3"/>
      <c r="B36" s="3"/>
      <c r="C36" s="3"/>
      <c r="D36" s="3"/>
      <c r="E36" s="3"/>
      <c r="F36" s="3"/>
      <c r="G36" s="3"/>
      <c r="H36" s="3"/>
      <c r="I36" s="3"/>
      <c r="J36" s="3"/>
    </row>
    <row r="37" spans="1:10" x14ac:dyDescent="0.2">
      <c r="A37" s="3"/>
      <c r="B37" s="3"/>
      <c r="C37" s="3"/>
      <c r="D37" s="3"/>
      <c r="E37" s="3"/>
      <c r="F37" s="3"/>
      <c r="G37" s="3"/>
      <c r="H37" s="3"/>
      <c r="I37" s="3"/>
      <c r="J37" s="3"/>
    </row>
    <row r="38" spans="1:10" x14ac:dyDescent="0.2">
      <c r="A38" s="3"/>
      <c r="B38" s="3"/>
      <c r="C38" s="3"/>
      <c r="D38" s="3"/>
      <c r="E38" s="3"/>
      <c r="F38" s="3"/>
      <c r="G38" s="3"/>
      <c r="H38" s="3"/>
      <c r="I38" s="3"/>
      <c r="J38" s="3"/>
    </row>
    <row r="39" spans="1:10" x14ac:dyDescent="0.2">
      <c r="A39" s="3"/>
      <c r="B39" s="3"/>
      <c r="C39" s="3"/>
      <c r="D39" s="3"/>
      <c r="E39" s="3"/>
      <c r="F39" s="3"/>
      <c r="G39" s="3"/>
      <c r="H39" s="3"/>
      <c r="I39" s="3"/>
      <c r="J39" s="3"/>
    </row>
    <row r="40" spans="1:10" x14ac:dyDescent="0.2">
      <c r="A40" s="3"/>
      <c r="B40" s="3"/>
      <c r="C40" s="3"/>
      <c r="D40" s="3"/>
      <c r="E40" s="3"/>
      <c r="F40" s="3"/>
      <c r="G40" s="3"/>
      <c r="H40" s="3"/>
      <c r="I40" s="3"/>
      <c r="J40" s="3"/>
    </row>
    <row r="41" spans="1:10" x14ac:dyDescent="0.2">
      <c r="A41" s="3"/>
      <c r="B41" s="3"/>
      <c r="C41" s="3"/>
      <c r="D41" s="3"/>
      <c r="E41" s="3"/>
      <c r="F41" s="3"/>
      <c r="G41" s="3"/>
      <c r="H41" s="3"/>
      <c r="I41" s="3"/>
      <c r="J41" s="3"/>
    </row>
    <row r="42" spans="1:10" x14ac:dyDescent="0.2">
      <c r="A42" s="3"/>
      <c r="B42" s="3"/>
      <c r="C42" s="3"/>
      <c r="D42" s="3"/>
      <c r="E42" s="3"/>
      <c r="F42" s="3"/>
      <c r="G42" s="3"/>
      <c r="H42" s="3"/>
      <c r="I42" s="3"/>
      <c r="J42" s="3"/>
    </row>
    <row r="43" spans="1:10" x14ac:dyDescent="0.2">
      <c r="A43" s="3"/>
      <c r="B43" s="3"/>
      <c r="C43" s="3"/>
      <c r="D43" s="3"/>
      <c r="E43" s="3"/>
      <c r="F43" s="3"/>
      <c r="G43" s="3"/>
      <c r="H43" s="3"/>
      <c r="I43" s="3"/>
      <c r="J43" s="3"/>
    </row>
    <row r="44" spans="1:10" x14ac:dyDescent="0.2">
      <c r="A44" s="3"/>
      <c r="B44" s="3"/>
      <c r="C44" s="3"/>
      <c r="D44" s="3"/>
      <c r="E44" s="3"/>
      <c r="F44" s="3"/>
      <c r="G44" s="3"/>
      <c r="H44" s="3"/>
      <c r="I44" s="3"/>
      <c r="J44" s="3"/>
    </row>
    <row r="45" spans="1:10" x14ac:dyDescent="0.2">
      <c r="A45" s="3"/>
      <c r="B45" s="3"/>
      <c r="C45" s="3"/>
      <c r="D45" s="3"/>
      <c r="E45" s="3"/>
      <c r="F45" s="3"/>
      <c r="G45" s="3"/>
      <c r="H45" s="3"/>
      <c r="I45" s="3"/>
      <c r="J45" s="3"/>
    </row>
    <row r="46" spans="1:10" x14ac:dyDescent="0.2">
      <c r="A46" s="3"/>
      <c r="B46" s="3"/>
      <c r="C46" s="3"/>
      <c r="D46" s="3"/>
      <c r="E46" s="3"/>
      <c r="F46" s="3"/>
      <c r="G46" s="3"/>
      <c r="H46" s="3"/>
      <c r="I46" s="3"/>
      <c r="J46" s="3"/>
    </row>
    <row r="47" spans="1:10" x14ac:dyDescent="0.2">
      <c r="A47" s="3"/>
      <c r="B47" s="3"/>
      <c r="C47" s="3"/>
      <c r="D47" s="3"/>
      <c r="E47" s="3"/>
      <c r="F47" s="3"/>
      <c r="G47" s="3"/>
      <c r="H47" s="3"/>
      <c r="I47" s="3"/>
      <c r="J47" s="3"/>
    </row>
    <row r="48" spans="1:10" x14ac:dyDescent="0.2">
      <c r="A48" s="3"/>
      <c r="B48" s="3"/>
      <c r="C48" s="3"/>
      <c r="D48" s="3"/>
      <c r="E48" s="3"/>
      <c r="F48" s="3"/>
      <c r="G48" s="3"/>
      <c r="H48" s="3"/>
      <c r="I48" s="3"/>
      <c r="J48" s="3"/>
    </row>
    <row r="49" spans="1:10" x14ac:dyDescent="0.2">
      <c r="A49" s="3"/>
      <c r="B49" s="3"/>
      <c r="C49" s="3"/>
      <c r="D49" s="3"/>
      <c r="E49" s="3"/>
      <c r="F49" s="3"/>
      <c r="G49" s="3"/>
      <c r="H49" s="3"/>
      <c r="I49" s="3"/>
      <c r="J49" s="3"/>
    </row>
    <row r="50" spans="1:10" x14ac:dyDescent="0.2">
      <c r="A50" s="3"/>
      <c r="B50" s="3"/>
      <c r="C50" s="3"/>
      <c r="D50" s="3"/>
      <c r="E50" s="3"/>
      <c r="F50" s="3"/>
      <c r="G50" s="3"/>
      <c r="H50" s="3"/>
      <c r="I50" s="3"/>
      <c r="J50" s="3"/>
    </row>
    <row r="51" spans="1:10" x14ac:dyDescent="0.2">
      <c r="A51" s="3"/>
      <c r="B51" s="3"/>
      <c r="C51" s="3"/>
      <c r="D51" s="3"/>
      <c r="E51" s="3"/>
      <c r="F51" s="3"/>
      <c r="G51" s="3"/>
      <c r="H51" s="3"/>
      <c r="I51" s="3"/>
      <c r="J51" s="3"/>
    </row>
    <row r="52" spans="1:10" x14ac:dyDescent="0.2">
      <c r="A52" s="3"/>
      <c r="B52" s="3"/>
      <c r="C52" s="3"/>
      <c r="D52" s="3"/>
      <c r="E52" s="3"/>
      <c r="F52" s="3"/>
      <c r="G52" s="3"/>
      <c r="H52" s="3"/>
      <c r="I52" s="3"/>
      <c r="J52" s="3"/>
    </row>
    <row r="53" spans="1:10" x14ac:dyDescent="0.2">
      <c r="A53" s="3"/>
      <c r="B53" s="3"/>
      <c r="C53" s="3"/>
      <c r="D53" s="3"/>
      <c r="E53" s="3"/>
      <c r="F53" s="3"/>
      <c r="G53" s="3"/>
      <c r="H53" s="3"/>
      <c r="I53" s="3"/>
      <c r="J53" s="3"/>
    </row>
    <row r="54" spans="1:10" x14ac:dyDescent="0.2">
      <c r="A54" s="3"/>
      <c r="B54" s="3"/>
      <c r="C54" s="3"/>
      <c r="D54" s="3"/>
      <c r="E54" s="3"/>
      <c r="F54" s="3"/>
      <c r="G54" s="3"/>
      <c r="H54" s="3"/>
      <c r="I54" s="3"/>
      <c r="J54" s="3"/>
    </row>
    <row r="55" spans="1:10" x14ac:dyDescent="0.2">
      <c r="A55" s="3"/>
      <c r="B55" s="3"/>
      <c r="C55" s="3"/>
      <c r="D55" s="3"/>
      <c r="E55" s="3"/>
      <c r="F55" s="3"/>
      <c r="G55" s="3"/>
      <c r="H55" s="3"/>
      <c r="I55" s="3"/>
      <c r="J55" s="3"/>
    </row>
    <row r="56" spans="1:10" x14ac:dyDescent="0.2">
      <c r="A56" s="3"/>
      <c r="B56" s="3"/>
      <c r="C56" s="3"/>
      <c r="D56" s="3"/>
      <c r="E56" s="3"/>
      <c r="F56" s="3"/>
      <c r="G56" s="3"/>
      <c r="H56" s="3"/>
      <c r="I56" s="3"/>
      <c r="J56" s="3"/>
    </row>
    <row r="57" spans="1:10" x14ac:dyDescent="0.2">
      <c r="A57" s="3"/>
      <c r="B57" s="3"/>
      <c r="C57" s="3"/>
      <c r="D57" s="3"/>
      <c r="E57" s="3"/>
      <c r="F57" s="3"/>
      <c r="G57" s="3"/>
      <c r="H57" s="3"/>
      <c r="I57" s="3"/>
      <c r="J57" s="3"/>
    </row>
    <row r="58" spans="1:10" x14ac:dyDescent="0.2">
      <c r="A58" s="3"/>
      <c r="B58" s="3"/>
      <c r="C58" s="3"/>
      <c r="D58" s="3"/>
      <c r="E58" s="3"/>
      <c r="F58" s="3"/>
      <c r="G58" s="3"/>
      <c r="H58" s="3"/>
      <c r="I58" s="3"/>
      <c r="J58" s="3"/>
    </row>
    <row r="59" spans="1:10" x14ac:dyDescent="0.2">
      <c r="A59" s="3"/>
      <c r="B59" s="3"/>
      <c r="C59" s="3"/>
      <c r="D59" s="3"/>
      <c r="E59" s="3"/>
      <c r="F59" s="3"/>
      <c r="G59" s="3"/>
      <c r="H59" s="3"/>
      <c r="I59" s="3"/>
      <c r="J59" s="3"/>
    </row>
    <row r="60" spans="1:10" x14ac:dyDescent="0.2">
      <c r="A60" s="3"/>
      <c r="B60" s="3"/>
      <c r="C60" s="3"/>
      <c r="D60" s="3"/>
      <c r="E60" s="3"/>
      <c r="F60" s="3"/>
      <c r="G60" s="3"/>
      <c r="H60" s="3"/>
      <c r="I60" s="3"/>
      <c r="J60" s="3"/>
    </row>
    <row r="61" spans="1:10" x14ac:dyDescent="0.2">
      <c r="A61" s="3"/>
      <c r="B61" s="3"/>
      <c r="C61" s="3"/>
      <c r="D61" s="3"/>
      <c r="E61" s="3"/>
      <c r="F61" s="3"/>
      <c r="G61" s="3"/>
      <c r="H61" s="3"/>
      <c r="I61" s="3"/>
      <c r="J61" s="3"/>
    </row>
    <row r="62" spans="1:10" x14ac:dyDescent="0.2">
      <c r="A62" s="3"/>
      <c r="B62" s="3"/>
      <c r="C62" s="3"/>
      <c r="D62" s="3"/>
      <c r="E62" s="3"/>
      <c r="F62" s="3"/>
      <c r="G62" s="3"/>
      <c r="H62" s="3"/>
      <c r="I62" s="3"/>
      <c r="J62" s="3"/>
    </row>
    <row r="63" spans="1:10" x14ac:dyDescent="0.2">
      <c r="A63" s="3"/>
      <c r="B63" s="3"/>
      <c r="C63" s="3"/>
      <c r="D63" s="3"/>
      <c r="E63" s="3"/>
      <c r="F63" s="3"/>
      <c r="G63" s="3"/>
      <c r="H63" s="3"/>
      <c r="I63" s="3"/>
      <c r="J63" s="3"/>
    </row>
    <row r="64" spans="1:10" x14ac:dyDescent="0.2">
      <c r="A64" s="3"/>
      <c r="B64" s="3"/>
      <c r="C64" s="3"/>
      <c r="D64" s="3"/>
      <c r="E64" s="3"/>
      <c r="F64" s="3"/>
      <c r="G64" s="3"/>
      <c r="H64" s="3"/>
      <c r="I64" s="3"/>
      <c r="J64" s="3"/>
    </row>
    <row r="65" spans="1:10" x14ac:dyDescent="0.2">
      <c r="A65" s="3"/>
      <c r="B65" s="3"/>
      <c r="C65" s="3"/>
      <c r="D65" s="3"/>
      <c r="E65" s="3"/>
      <c r="F65" s="3"/>
      <c r="G65" s="3"/>
      <c r="H65" s="3"/>
      <c r="I65" s="3"/>
      <c r="J65" s="3"/>
    </row>
    <row r="66" spans="1:10" x14ac:dyDescent="0.2">
      <c r="A66" s="3"/>
      <c r="B66" s="3"/>
      <c r="C66" s="3"/>
      <c r="D66" s="3"/>
      <c r="E66" s="3"/>
      <c r="F66" s="3"/>
      <c r="G66" s="3"/>
      <c r="H66" s="3"/>
      <c r="I66" s="3"/>
      <c r="J66" s="3"/>
    </row>
    <row r="67" spans="1:10" x14ac:dyDescent="0.2">
      <c r="A67" s="3"/>
      <c r="B67" s="3"/>
      <c r="C67" s="3"/>
      <c r="D67" s="3"/>
      <c r="E67" s="3"/>
      <c r="F67" s="3"/>
      <c r="G67" s="3"/>
      <c r="H67" s="3"/>
      <c r="I67" s="3"/>
      <c r="J67" s="3"/>
    </row>
    <row r="68" spans="1:10" x14ac:dyDescent="0.2">
      <c r="A68" s="3"/>
      <c r="B68" s="3"/>
      <c r="C68" s="3"/>
      <c r="D68" s="3"/>
      <c r="E68" s="3"/>
      <c r="F68" s="3"/>
      <c r="G68" s="3"/>
      <c r="H68" s="3"/>
      <c r="I68" s="3"/>
      <c r="J68" s="3"/>
    </row>
    <row r="69" spans="1:10" x14ac:dyDescent="0.2">
      <c r="A69" s="3"/>
      <c r="B69" s="3"/>
      <c r="C69" s="3"/>
      <c r="D69" s="3"/>
      <c r="E69" s="3"/>
      <c r="F69" s="3"/>
      <c r="G69" s="3"/>
      <c r="H69" s="3"/>
      <c r="I69" s="3"/>
      <c r="J69" s="3"/>
    </row>
    <row r="70" spans="1:10" x14ac:dyDescent="0.2">
      <c r="A70" s="3"/>
      <c r="B70" s="3"/>
      <c r="C70" s="3"/>
      <c r="D70" s="3"/>
      <c r="E70" s="3"/>
      <c r="F70" s="3"/>
      <c r="G70" s="3"/>
      <c r="H70" s="3"/>
      <c r="I70" s="3"/>
      <c r="J70" s="3"/>
    </row>
    <row r="71" spans="1:10" x14ac:dyDescent="0.2">
      <c r="A71" s="3"/>
      <c r="B71" s="3"/>
      <c r="C71" s="3"/>
      <c r="D71" s="3"/>
      <c r="E71" s="3"/>
      <c r="F71" s="3"/>
      <c r="G71" s="3"/>
      <c r="H71" s="3"/>
      <c r="I71" s="3"/>
      <c r="J71" s="3"/>
    </row>
    <row r="72" spans="1:10" x14ac:dyDescent="0.2">
      <c r="A72" s="3"/>
      <c r="B72" s="3"/>
      <c r="C72" s="3"/>
      <c r="D72" s="3"/>
      <c r="E72" s="3"/>
      <c r="F72" s="3"/>
      <c r="G72" s="3"/>
      <c r="H72" s="3"/>
      <c r="I72" s="3"/>
      <c r="J72" s="3"/>
    </row>
    <row r="73" spans="1:10" x14ac:dyDescent="0.2">
      <c r="A73" s="3"/>
      <c r="B73" s="3"/>
      <c r="C73" s="3"/>
      <c r="D73" s="3"/>
      <c r="E73" s="3"/>
      <c r="F73" s="3"/>
      <c r="G73" s="3"/>
      <c r="H73" s="3"/>
      <c r="I73" s="3"/>
      <c r="J73" s="3"/>
    </row>
    <row r="74" spans="1:10" x14ac:dyDescent="0.2">
      <c r="A74" s="3"/>
      <c r="B74" s="3"/>
      <c r="C74" s="3"/>
      <c r="D74" s="3"/>
      <c r="E74" s="3"/>
      <c r="F74" s="3"/>
      <c r="G74" s="3"/>
      <c r="H74" s="3"/>
      <c r="I74" s="3"/>
      <c r="J74" s="3"/>
    </row>
    <row r="75" spans="1:10" x14ac:dyDescent="0.2">
      <c r="A75" s="3"/>
      <c r="B75" s="3"/>
      <c r="C75" s="3"/>
      <c r="D75" s="3"/>
      <c r="E75" s="3"/>
      <c r="F75" s="3"/>
      <c r="G75" s="3"/>
      <c r="H75" s="3"/>
      <c r="I75" s="3"/>
      <c r="J75" s="3"/>
    </row>
    <row r="76" spans="1:10" x14ac:dyDescent="0.2">
      <c r="A76" s="3"/>
      <c r="B76" s="3"/>
      <c r="C76" s="3"/>
      <c r="D76" s="3"/>
      <c r="E76" s="3"/>
      <c r="F76" s="3"/>
      <c r="G76" s="3"/>
      <c r="H76" s="3"/>
      <c r="I76" s="3"/>
      <c r="J76" s="3"/>
    </row>
    <row r="77" spans="1:10" x14ac:dyDescent="0.2">
      <c r="A77" s="3"/>
      <c r="B77" s="3"/>
      <c r="C77" s="3"/>
      <c r="D77" s="3"/>
      <c r="E77" s="3"/>
      <c r="F77" s="3"/>
      <c r="G77" s="3"/>
      <c r="H77" s="3"/>
      <c r="I77" s="3"/>
      <c r="J77" s="3"/>
    </row>
    <row r="78" spans="1:10" x14ac:dyDescent="0.2">
      <c r="A78" s="3"/>
      <c r="B78" s="3"/>
      <c r="C78" s="3"/>
      <c r="D78" s="3"/>
      <c r="E78" s="3"/>
      <c r="F78" s="3"/>
      <c r="G78" s="3"/>
      <c r="H78" s="3"/>
      <c r="I78" s="3"/>
      <c r="J78" s="3"/>
    </row>
    <row r="79" spans="1:10" x14ac:dyDescent="0.2">
      <c r="A79" s="3"/>
      <c r="B79" s="3"/>
      <c r="C79" s="3"/>
      <c r="D79" s="3"/>
      <c r="E79" s="3"/>
      <c r="F79" s="3"/>
      <c r="G79" s="3"/>
      <c r="H79" s="3"/>
      <c r="I79" s="3"/>
      <c r="J79" s="3"/>
    </row>
    <row r="80" spans="1:10" x14ac:dyDescent="0.2">
      <c r="A80" s="3"/>
      <c r="B80" s="3"/>
      <c r="C80" s="3"/>
      <c r="D80" s="3"/>
      <c r="E80" s="3"/>
      <c r="F80" s="3"/>
      <c r="G80" s="3"/>
      <c r="H80" s="3"/>
      <c r="I80" s="3"/>
      <c r="J80" s="3"/>
    </row>
    <row r="81" spans="1:10" x14ac:dyDescent="0.2">
      <c r="A81" s="3"/>
      <c r="B81" s="3"/>
      <c r="C81" s="3"/>
      <c r="D81" s="3"/>
      <c r="E81" s="3"/>
      <c r="F81" s="3"/>
      <c r="G81" s="3"/>
      <c r="H81" s="3"/>
      <c r="I81" s="3"/>
      <c r="J81" s="3"/>
    </row>
    <row r="82" spans="1:10" x14ac:dyDescent="0.2">
      <c r="A82" s="3"/>
      <c r="B82" s="3"/>
      <c r="C82" s="3"/>
      <c r="D82" s="3"/>
      <c r="E82" s="3"/>
      <c r="F82" s="3"/>
      <c r="G82" s="3"/>
      <c r="H82" s="3"/>
      <c r="I82" s="3"/>
      <c r="J82" s="3"/>
    </row>
    <row r="83" spans="1:10" x14ac:dyDescent="0.2">
      <c r="A83" s="3"/>
      <c r="B83" s="3"/>
      <c r="C83" s="3"/>
      <c r="D83" s="3"/>
      <c r="E83" s="3"/>
      <c r="F83" s="3"/>
      <c r="G83" s="3"/>
      <c r="H83" s="3"/>
      <c r="I83" s="3"/>
      <c r="J83" s="3"/>
    </row>
    <row r="84" spans="1:10" x14ac:dyDescent="0.2">
      <c r="A84" s="3"/>
      <c r="B84" s="3"/>
      <c r="C84" s="3"/>
      <c r="D84" s="3"/>
      <c r="E84" s="3"/>
      <c r="F84" s="3"/>
      <c r="G84" s="3"/>
      <c r="H84" s="3"/>
      <c r="I84" s="3"/>
      <c r="J84" s="3"/>
    </row>
    <row r="85" spans="1:10" x14ac:dyDescent="0.2">
      <c r="A85" s="3"/>
      <c r="B85" s="3"/>
      <c r="C85" s="3"/>
      <c r="D85" s="3"/>
      <c r="E85" s="3"/>
      <c r="F85" s="3"/>
      <c r="G85" s="3"/>
      <c r="H85" s="3"/>
      <c r="I85" s="3"/>
      <c r="J85" s="3"/>
    </row>
    <row r="86" spans="1:10" x14ac:dyDescent="0.2">
      <c r="A86" s="3"/>
      <c r="B86" s="3"/>
      <c r="C86" s="3"/>
      <c r="D86" s="3"/>
      <c r="E86" s="3"/>
      <c r="F86" s="3"/>
      <c r="G86" s="3"/>
      <c r="H86" s="3"/>
      <c r="I86" s="3"/>
      <c r="J86" s="3"/>
    </row>
    <row r="87" spans="1:10" x14ac:dyDescent="0.2">
      <c r="A87" s="3"/>
      <c r="B87" s="3"/>
      <c r="C87" s="3"/>
      <c r="D87" s="3"/>
      <c r="E87" s="3"/>
      <c r="F87" s="3"/>
      <c r="G87" s="3"/>
      <c r="H87" s="3"/>
      <c r="I87" s="3"/>
      <c r="J87" s="3"/>
    </row>
    <row r="88" spans="1:10" x14ac:dyDescent="0.2">
      <c r="A88" s="3"/>
      <c r="B88" s="3"/>
      <c r="C88" s="3"/>
      <c r="D88" s="3"/>
      <c r="E88" s="3"/>
      <c r="F88" s="3"/>
      <c r="G88" s="3"/>
      <c r="H88" s="3"/>
      <c r="I88" s="3"/>
      <c r="J88" s="3"/>
    </row>
    <row r="89" spans="1:10" x14ac:dyDescent="0.2">
      <c r="A89" s="3"/>
      <c r="B89" s="3"/>
      <c r="C89" s="3"/>
      <c r="D89" s="3"/>
      <c r="E89" s="3"/>
      <c r="F89" s="3"/>
      <c r="G89" s="3"/>
      <c r="H89" s="3"/>
      <c r="I89" s="3"/>
      <c r="J89" s="3"/>
    </row>
    <row r="90" spans="1:10" x14ac:dyDescent="0.2">
      <c r="A90" s="3"/>
      <c r="B90" s="3"/>
      <c r="C90" s="3"/>
      <c r="D90" s="3"/>
      <c r="E90" s="3"/>
      <c r="F90" s="3"/>
      <c r="G90" s="3"/>
      <c r="H90" s="3"/>
      <c r="I90" s="3"/>
      <c r="J90" s="3"/>
    </row>
    <row r="91" spans="1:10" x14ac:dyDescent="0.2">
      <c r="A91" s="3"/>
      <c r="B91" s="3"/>
      <c r="C91" s="3"/>
      <c r="D91" s="3"/>
      <c r="E91" s="3"/>
      <c r="F91" s="3"/>
      <c r="G91" s="3"/>
      <c r="H91" s="3"/>
      <c r="I91" s="3"/>
      <c r="J91" s="3"/>
    </row>
    <row r="92" spans="1:10" x14ac:dyDescent="0.2">
      <c r="A92" s="3"/>
      <c r="B92" s="3"/>
      <c r="C92" s="3"/>
      <c r="D92" s="3"/>
      <c r="E92" s="3"/>
      <c r="F92" s="3"/>
      <c r="G92" s="3"/>
      <c r="H92" s="3"/>
      <c r="I92" s="3"/>
      <c r="J92" s="3"/>
    </row>
    <row r="93" spans="1:10" x14ac:dyDescent="0.2">
      <c r="A93" s="3"/>
      <c r="B93" s="3"/>
      <c r="C93" s="3"/>
      <c r="D93" s="3"/>
      <c r="E93" s="3"/>
      <c r="F93" s="3"/>
      <c r="G93" s="3"/>
      <c r="H93" s="3"/>
      <c r="I93" s="3"/>
      <c r="J93" s="3"/>
    </row>
    <row r="94" spans="1:10" x14ac:dyDescent="0.2">
      <c r="A94" s="3"/>
      <c r="B94" s="3"/>
      <c r="C94" s="3"/>
      <c r="D94" s="3"/>
      <c r="E94" s="3"/>
      <c r="F94" s="3"/>
      <c r="G94" s="3"/>
      <c r="H94" s="3"/>
      <c r="I94" s="3"/>
      <c r="J94" s="3"/>
    </row>
    <row r="95" spans="1:10" x14ac:dyDescent="0.2">
      <c r="A95" s="3"/>
      <c r="B95" s="3"/>
      <c r="C95" s="3"/>
      <c r="D95" s="3"/>
      <c r="E95" s="3"/>
      <c r="F95" s="3"/>
      <c r="G95" s="3"/>
      <c r="H95" s="3"/>
      <c r="I95" s="3"/>
      <c r="J95" s="3"/>
    </row>
    <row r="96" spans="1:10" x14ac:dyDescent="0.2">
      <c r="A96" s="3"/>
      <c r="B96" s="3"/>
      <c r="C96" s="3"/>
      <c r="D96" s="3"/>
      <c r="E96" s="3"/>
      <c r="F96" s="3"/>
      <c r="G96" s="3"/>
      <c r="H96" s="3"/>
      <c r="I96" s="3"/>
      <c r="J96" s="3"/>
    </row>
    <row r="97" spans="1:10" x14ac:dyDescent="0.2">
      <c r="A97" s="3"/>
      <c r="B97" s="3"/>
      <c r="C97" s="3"/>
      <c r="D97" s="3"/>
      <c r="E97" s="3"/>
      <c r="F97" s="3"/>
      <c r="G97" s="3"/>
      <c r="H97" s="3"/>
      <c r="I97" s="3"/>
      <c r="J97" s="3"/>
    </row>
    <row r="98" spans="1:10" x14ac:dyDescent="0.2">
      <c r="A98" s="3"/>
      <c r="B98" s="3"/>
      <c r="C98" s="3"/>
      <c r="D98" s="3"/>
      <c r="E98" s="3"/>
      <c r="F98" s="3"/>
      <c r="G98" s="3"/>
      <c r="H98" s="3"/>
      <c r="I98" s="3"/>
      <c r="J98" s="3"/>
    </row>
    <row r="99" spans="1:10" x14ac:dyDescent="0.2">
      <c r="A99" s="3"/>
      <c r="B99" s="3"/>
      <c r="C99" s="3"/>
      <c r="D99" s="3"/>
      <c r="E99" s="3"/>
      <c r="F99" s="3"/>
      <c r="G99" s="3"/>
      <c r="H99" s="3"/>
      <c r="I99" s="3"/>
      <c r="J99" s="3"/>
    </row>
    <row r="100" spans="1:10" x14ac:dyDescent="0.2">
      <c r="A100" s="3"/>
      <c r="B100" s="3"/>
      <c r="C100" s="3"/>
      <c r="D100" s="3"/>
      <c r="E100" s="3"/>
      <c r="F100" s="3"/>
      <c r="G100" s="3"/>
      <c r="H100" s="3"/>
      <c r="I100" s="3"/>
      <c r="J100" s="3"/>
    </row>
  </sheetData>
  <sheetProtection formatCells="0" formatColumns="0" formatRows="0" insertColumns="0" insertRows="0" insertHyperlinks="0" deleteColumns="0" deleteRows="0" selectLockedCells="1" sort="0" autoFilter="0" pivotTables="0"/>
  <protectedRanges>
    <protectedRange sqref="A2:J2" name="Rango1"/>
  </protectedRanges>
  <mergeCells count="6">
    <mergeCell ref="B14:G14"/>
    <mergeCell ref="B15:G15"/>
    <mergeCell ref="B10:G10"/>
    <mergeCell ref="B11:G11"/>
    <mergeCell ref="B12:G12"/>
    <mergeCell ref="B13:G13"/>
  </mergeCells>
  <phoneticPr fontId="0" type="noConversion"/>
  <pageMargins left="0.75" right="0.75" top="1" bottom="1" header="0" footer="0"/>
  <pageSetup paperSize="9" orientation="portrait" horizontalDpi="300" verticalDpi="300" r:id="rId1"/>
  <headerFooter alignWithMargins="0"/>
  <drawing r:id="rId2"/>
  <legacyDrawing r:id="rId3"/>
  <controls>
    <mc:AlternateContent xmlns:mc="http://schemas.openxmlformats.org/markup-compatibility/2006">
      <mc:Choice Requires="x14">
        <control shapeId="1025" r:id="rId4" name="XML">
          <controlPr defaultSize="0" autoLine="0" autoPict="0" r:id="rId5">
            <anchor moveWithCells="1">
              <from>
                <xdr:col>11</xdr:col>
                <xdr:colOff>85725</xdr:colOff>
                <xdr:row>0</xdr:row>
                <xdr:rowOff>133350</xdr:rowOff>
              </from>
              <to>
                <xdr:col>12</xdr:col>
                <xdr:colOff>76200</xdr:colOff>
                <xdr:row>2</xdr:row>
                <xdr:rowOff>123825</xdr:rowOff>
              </to>
            </anchor>
          </controlPr>
        </control>
      </mc:Choice>
      <mc:Fallback>
        <control shapeId="1025" r:id="rId4" name="XML"/>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Q5"/>
  <sheetViews>
    <sheetView workbookViewId="0">
      <pane ySplit="3" topLeftCell="A4" activePane="bottomLeft" state="frozen"/>
      <selection pane="bottomLeft" activeCell="L10" sqref="L10"/>
    </sheetView>
  </sheetViews>
  <sheetFormatPr baseColWidth="10" defaultRowHeight="12.75" x14ac:dyDescent="0.2"/>
  <cols>
    <col min="10" max="10" width="15.42578125" style="2" customWidth="1"/>
    <col min="15" max="15" width="12.85546875" style="2" customWidth="1"/>
    <col min="18" max="18" width="11.42578125" style="2"/>
    <col min="19" max="19" width="11.42578125" customWidth="1"/>
  </cols>
  <sheetData>
    <row r="1" spans="1:69" s="14" customFormat="1" ht="51.75" thickBot="1" x14ac:dyDescent="0.25">
      <c r="A1" s="16" t="s">
        <v>0</v>
      </c>
      <c r="B1" s="16" t="s">
        <v>37</v>
      </c>
      <c r="C1" s="16" t="s">
        <v>38</v>
      </c>
      <c r="D1" s="16" t="s">
        <v>7</v>
      </c>
      <c r="E1" s="16" t="s">
        <v>39</v>
      </c>
      <c r="F1" s="16" t="s">
        <v>8</v>
      </c>
      <c r="G1" s="16" t="s">
        <v>179</v>
      </c>
      <c r="H1" s="16" t="s">
        <v>182</v>
      </c>
      <c r="I1" s="16" t="s">
        <v>40</v>
      </c>
      <c r="J1" s="16" t="s">
        <v>41</v>
      </c>
      <c r="K1" s="16" t="s">
        <v>42</v>
      </c>
      <c r="L1" s="16" t="s">
        <v>43</v>
      </c>
      <c r="M1" s="39" t="s">
        <v>44</v>
      </c>
      <c r="N1" s="39" t="s">
        <v>187</v>
      </c>
      <c r="O1" s="16" t="s">
        <v>45</v>
      </c>
      <c r="P1" s="16" t="s">
        <v>46</v>
      </c>
      <c r="Q1" s="16" t="s">
        <v>47</v>
      </c>
      <c r="R1" s="39" t="s">
        <v>192</v>
      </c>
      <c r="S1" s="16" t="s">
        <v>195</v>
      </c>
      <c r="T1" s="16" t="s">
        <v>198</v>
      </c>
      <c r="U1" s="16" t="s">
        <v>200</v>
      </c>
      <c r="V1" s="39" t="s">
        <v>203</v>
      </c>
      <c r="W1" s="39" t="s">
        <v>205</v>
      </c>
      <c r="X1" s="39" t="s">
        <v>207</v>
      </c>
      <c r="Y1" s="16" t="s">
        <v>210</v>
      </c>
      <c r="Z1" s="16" t="s">
        <v>212</v>
      </c>
      <c r="AA1" s="16" t="s">
        <v>214</v>
      </c>
      <c r="AB1" s="39" t="s">
        <v>217</v>
      </c>
      <c r="AC1" s="16" t="s">
        <v>219</v>
      </c>
      <c r="AD1" s="16" t="s">
        <v>222</v>
      </c>
      <c r="AE1" s="16" t="s">
        <v>225</v>
      </c>
      <c r="AF1" s="16" t="s">
        <v>228</v>
      </c>
      <c r="AG1" s="16" t="s">
        <v>231</v>
      </c>
      <c r="AH1" s="16" t="s">
        <v>234</v>
      </c>
      <c r="AI1" s="39" t="s">
        <v>237</v>
      </c>
      <c r="AJ1" s="16" t="s">
        <v>240</v>
      </c>
      <c r="AK1" s="16" t="s">
        <v>243</v>
      </c>
      <c r="AL1" s="16" t="s">
        <v>246</v>
      </c>
      <c r="AM1" s="16" t="s">
        <v>249</v>
      </c>
      <c r="AN1" s="16" t="s">
        <v>252</v>
      </c>
      <c r="AO1" s="16" t="s">
        <v>255</v>
      </c>
      <c r="AP1" s="16" t="s">
        <v>258</v>
      </c>
      <c r="AQ1" s="16" t="s">
        <v>261</v>
      </c>
      <c r="AR1" s="16" t="s">
        <v>264</v>
      </c>
      <c r="AS1" s="16" t="s">
        <v>267</v>
      </c>
      <c r="AT1" s="16" t="s">
        <v>270</v>
      </c>
      <c r="AU1" s="16" t="s">
        <v>272</v>
      </c>
      <c r="AV1" s="16" t="s">
        <v>275</v>
      </c>
      <c r="AW1" s="16" t="s">
        <v>48</v>
      </c>
      <c r="AX1" s="16" t="s">
        <v>49</v>
      </c>
      <c r="AY1" s="16" t="s">
        <v>50</v>
      </c>
      <c r="AZ1" s="16" t="s">
        <v>51</v>
      </c>
      <c r="BA1" s="16" t="s">
        <v>52</v>
      </c>
      <c r="BB1" s="16" t="s">
        <v>53</v>
      </c>
      <c r="BC1" s="16" t="s">
        <v>54</v>
      </c>
      <c r="BD1" s="16" t="s">
        <v>55</v>
      </c>
      <c r="BE1" s="16" t="s">
        <v>56</v>
      </c>
      <c r="BF1" s="16" t="s">
        <v>57</v>
      </c>
      <c r="BG1" s="16" t="s">
        <v>58</v>
      </c>
      <c r="BH1" s="16" t="s">
        <v>59</v>
      </c>
      <c r="BI1" s="16" t="s">
        <v>278</v>
      </c>
      <c r="BJ1" s="16" t="s">
        <v>281</v>
      </c>
      <c r="BK1" s="16" t="s">
        <v>284</v>
      </c>
      <c r="BL1" s="16" t="s">
        <v>287</v>
      </c>
      <c r="BM1" s="16" t="s">
        <v>290</v>
      </c>
      <c r="BN1" s="16" t="s">
        <v>293</v>
      </c>
      <c r="BO1" s="16" t="s">
        <v>295</v>
      </c>
      <c r="BP1" s="16" t="s">
        <v>298</v>
      </c>
      <c r="BQ1" s="16" t="s">
        <v>301</v>
      </c>
    </row>
    <row r="2" spans="1:69" ht="13.5" thickBot="1" x14ac:dyDescent="0.25">
      <c r="A2" s="17" t="s">
        <v>2</v>
      </c>
      <c r="B2" s="17" t="s">
        <v>3</v>
      </c>
      <c r="C2" s="17" t="s">
        <v>3</v>
      </c>
      <c r="D2" s="17" t="s">
        <v>3</v>
      </c>
      <c r="E2" s="17" t="s">
        <v>3</v>
      </c>
      <c r="F2" s="17" t="s">
        <v>3</v>
      </c>
      <c r="G2" s="17" t="s">
        <v>3</v>
      </c>
      <c r="H2" s="17" t="s">
        <v>3</v>
      </c>
      <c r="I2" s="17" t="s">
        <v>3</v>
      </c>
      <c r="J2" s="17" t="s">
        <v>4</v>
      </c>
      <c r="K2" s="17" t="s">
        <v>4</v>
      </c>
      <c r="L2" s="17" t="s">
        <v>3</v>
      </c>
      <c r="M2" s="40" t="s">
        <v>4</v>
      </c>
      <c r="N2" s="40" t="s">
        <v>4</v>
      </c>
      <c r="O2" s="17" t="s">
        <v>3</v>
      </c>
      <c r="P2" s="17" t="s">
        <v>3</v>
      </c>
      <c r="Q2" s="17" t="s">
        <v>3</v>
      </c>
      <c r="R2" s="40" t="s">
        <v>4</v>
      </c>
      <c r="S2" s="17" t="s">
        <v>4</v>
      </c>
      <c r="T2" s="17" t="s">
        <v>4</v>
      </c>
      <c r="U2" s="17" t="s">
        <v>4</v>
      </c>
      <c r="V2" s="40" t="s">
        <v>4</v>
      </c>
      <c r="W2" s="40" t="s">
        <v>4</v>
      </c>
      <c r="X2" s="40" t="s">
        <v>4</v>
      </c>
      <c r="Y2" s="17" t="s">
        <v>4</v>
      </c>
      <c r="Z2" s="17" t="s">
        <v>4</v>
      </c>
      <c r="AA2" s="17" t="s">
        <v>4</v>
      </c>
      <c r="AB2" s="40" t="s">
        <v>4</v>
      </c>
      <c r="AC2" s="17" t="s">
        <v>4</v>
      </c>
      <c r="AD2" s="17" t="s">
        <v>4</v>
      </c>
      <c r="AE2" s="17" t="s">
        <v>3</v>
      </c>
      <c r="AF2" s="17" t="s">
        <v>4</v>
      </c>
      <c r="AG2" s="17" t="s">
        <v>3</v>
      </c>
      <c r="AH2" s="17" t="s">
        <v>4</v>
      </c>
      <c r="AI2" s="40" t="s">
        <v>4</v>
      </c>
      <c r="AJ2" s="17" t="s">
        <v>3</v>
      </c>
      <c r="AK2" s="17" t="s">
        <v>4</v>
      </c>
      <c r="AL2" s="17" t="s">
        <v>4</v>
      </c>
      <c r="AM2" s="17" t="s">
        <v>4</v>
      </c>
      <c r="AN2" s="17" t="s">
        <v>4</v>
      </c>
      <c r="AO2" s="17" t="s">
        <v>4</v>
      </c>
      <c r="AP2" s="17" t="s">
        <v>4</v>
      </c>
      <c r="AQ2" s="17" t="s">
        <v>4</v>
      </c>
      <c r="AR2" s="17" t="s">
        <v>4</v>
      </c>
      <c r="AS2" s="17" t="s">
        <v>4</v>
      </c>
      <c r="AT2" s="17" t="s">
        <v>4</v>
      </c>
      <c r="AU2" s="17" t="s">
        <v>4</v>
      </c>
      <c r="AV2" s="17" t="s">
        <v>4</v>
      </c>
      <c r="AW2" s="17" t="s">
        <v>4</v>
      </c>
      <c r="AX2" s="17" t="s">
        <v>4</v>
      </c>
      <c r="AY2" s="17" t="s">
        <v>4</v>
      </c>
      <c r="AZ2" s="17" t="s">
        <v>4</v>
      </c>
      <c r="BA2" s="17" t="s">
        <v>4</v>
      </c>
      <c r="BB2" s="17" t="s">
        <v>4</v>
      </c>
      <c r="BC2" s="17" t="s">
        <v>4</v>
      </c>
      <c r="BD2" s="17" t="s">
        <v>3</v>
      </c>
      <c r="BE2" s="17" t="s">
        <v>3</v>
      </c>
      <c r="BF2" s="17" t="s">
        <v>3</v>
      </c>
      <c r="BG2" s="17" t="s">
        <v>3</v>
      </c>
      <c r="BH2" s="17" t="s">
        <v>4</v>
      </c>
      <c r="BI2" s="17" t="s">
        <v>4</v>
      </c>
      <c r="BJ2" s="17" t="s">
        <v>3</v>
      </c>
      <c r="BK2" s="17" t="s">
        <v>4</v>
      </c>
      <c r="BL2" s="17" t="s">
        <v>4</v>
      </c>
      <c r="BM2" s="17" t="s">
        <v>4</v>
      </c>
      <c r="BN2" s="17" t="s">
        <v>4</v>
      </c>
      <c r="BO2" s="17" t="s">
        <v>3</v>
      </c>
      <c r="BP2" s="17" t="s">
        <v>4</v>
      </c>
      <c r="BQ2" s="17" t="s">
        <v>4</v>
      </c>
    </row>
    <row r="3" spans="1:69" x14ac:dyDescent="0.2">
      <c r="A3" s="18" t="s">
        <v>1</v>
      </c>
      <c r="B3" s="18">
        <v>7</v>
      </c>
      <c r="C3" s="18">
        <v>4</v>
      </c>
      <c r="D3" s="18">
        <v>2</v>
      </c>
      <c r="E3" s="18">
        <v>2</v>
      </c>
      <c r="F3" s="18">
        <v>3</v>
      </c>
      <c r="G3" s="18">
        <v>1</v>
      </c>
      <c r="H3" s="18">
        <v>1</v>
      </c>
      <c r="I3" s="18">
        <v>1</v>
      </c>
      <c r="J3" s="18">
        <v>3</v>
      </c>
      <c r="K3" s="18">
        <v>3</v>
      </c>
      <c r="L3" s="18">
        <v>8</v>
      </c>
      <c r="M3" s="41">
        <v>8</v>
      </c>
      <c r="N3" s="41">
        <v>15</v>
      </c>
      <c r="O3" s="18">
        <v>3</v>
      </c>
      <c r="P3" s="18">
        <v>1</v>
      </c>
      <c r="Q3" s="18">
        <v>1</v>
      </c>
      <c r="R3" s="41">
        <v>3</v>
      </c>
      <c r="S3" s="18">
        <v>4</v>
      </c>
      <c r="T3" s="18">
        <v>3</v>
      </c>
      <c r="U3" s="18">
        <v>15</v>
      </c>
      <c r="V3" s="41">
        <v>15</v>
      </c>
      <c r="W3" s="41">
        <v>3</v>
      </c>
      <c r="X3" s="41">
        <v>15</v>
      </c>
      <c r="Y3" s="18">
        <v>10</v>
      </c>
      <c r="Z3" s="18">
        <v>12</v>
      </c>
      <c r="AA3" s="18">
        <v>10</v>
      </c>
      <c r="AB3" s="41">
        <v>3</v>
      </c>
      <c r="AC3" s="18">
        <v>3</v>
      </c>
      <c r="AD3" s="18">
        <v>3</v>
      </c>
      <c r="AE3" s="18">
        <v>13</v>
      </c>
      <c r="AF3" s="18">
        <v>3</v>
      </c>
      <c r="AG3" s="18">
        <v>13</v>
      </c>
      <c r="AH3" s="18">
        <v>2000</v>
      </c>
      <c r="AI3" s="41">
        <v>3</v>
      </c>
      <c r="AJ3" s="18">
        <v>1</v>
      </c>
      <c r="AK3" s="18">
        <v>50</v>
      </c>
      <c r="AL3" s="18">
        <v>40</v>
      </c>
      <c r="AM3" s="18">
        <v>40</v>
      </c>
      <c r="AN3" s="18">
        <v>40</v>
      </c>
      <c r="AO3" s="18">
        <v>3</v>
      </c>
      <c r="AP3" s="18">
        <v>2</v>
      </c>
      <c r="AQ3" s="18">
        <v>3</v>
      </c>
      <c r="AR3" s="18">
        <v>40</v>
      </c>
      <c r="AS3" s="18">
        <v>20</v>
      </c>
      <c r="AT3" s="18">
        <v>20</v>
      </c>
      <c r="AU3" s="18">
        <v>10</v>
      </c>
      <c r="AV3" s="18">
        <v>50</v>
      </c>
      <c r="AW3" s="18">
        <v>10</v>
      </c>
      <c r="AX3" s="18">
        <v>15</v>
      </c>
      <c r="AY3" s="18">
        <v>3</v>
      </c>
      <c r="AZ3" s="18">
        <v>15</v>
      </c>
      <c r="BA3" s="18">
        <v>50</v>
      </c>
      <c r="BB3" s="18">
        <v>15</v>
      </c>
      <c r="BC3" s="18">
        <v>30</v>
      </c>
      <c r="BD3" s="18">
        <v>15</v>
      </c>
      <c r="BE3" s="18">
        <v>20</v>
      </c>
      <c r="BF3" s="18">
        <v>20</v>
      </c>
      <c r="BG3" s="18">
        <v>20</v>
      </c>
      <c r="BH3" s="18">
        <v>255</v>
      </c>
      <c r="BI3" s="18">
        <v>3</v>
      </c>
      <c r="BJ3" s="18">
        <v>1</v>
      </c>
      <c r="BK3" s="18">
        <v>3</v>
      </c>
      <c r="BL3" s="18">
        <v>5</v>
      </c>
      <c r="BM3" s="18">
        <v>2</v>
      </c>
      <c r="BN3" s="18">
        <v>2</v>
      </c>
      <c r="BO3" s="18">
        <v>3</v>
      </c>
      <c r="BP3" s="18">
        <v>20</v>
      </c>
      <c r="BQ3" s="18">
        <v>15</v>
      </c>
    </row>
    <row r="4" spans="1:69" s="11" customFormat="1" ht="14.25" customHeight="1" x14ac:dyDescent="0.25">
      <c r="A4" s="10">
        <v>1</v>
      </c>
      <c r="B4">
        <v>2</v>
      </c>
      <c r="C4" s="37">
        <v>461</v>
      </c>
      <c r="D4" s="12" t="s">
        <v>5</v>
      </c>
      <c r="E4" s="12" t="s">
        <v>326</v>
      </c>
      <c r="F4" s="12" t="s">
        <v>6</v>
      </c>
      <c r="G4" s="12" t="s">
        <v>327</v>
      </c>
      <c r="H4" s="12" t="s">
        <v>327</v>
      </c>
      <c r="I4" s="12" t="s">
        <v>327</v>
      </c>
      <c r="J4" s="45" t="s">
        <v>6</v>
      </c>
      <c r="K4" s="12" t="s">
        <v>332</v>
      </c>
      <c r="L4">
        <v>1</v>
      </c>
      <c r="M4">
        <v>20240813</v>
      </c>
      <c r="N4">
        <v>36306081</v>
      </c>
      <c r="O4" s="12" t="s">
        <v>328</v>
      </c>
      <c r="P4">
        <v>0</v>
      </c>
      <c r="Q4">
        <v>0</v>
      </c>
      <c r="R4" s="2" t="s">
        <v>335</v>
      </c>
      <c r="S4" s="44" t="s">
        <v>165</v>
      </c>
      <c r="T4" s="50" t="s">
        <v>6</v>
      </c>
      <c r="U4"/>
      <c r="V4">
        <v>36306081</v>
      </c>
      <c r="W4" s="2" t="s">
        <v>335</v>
      </c>
      <c r="X4">
        <v>830135173</v>
      </c>
      <c r="Y4"/>
      <c r="Z4"/>
      <c r="AA4"/>
      <c r="AB4" s="12" t="s">
        <v>6</v>
      </c>
      <c r="AC4" t="s">
        <v>329</v>
      </c>
      <c r="AD4" t="s">
        <v>329</v>
      </c>
      <c r="AE4">
        <v>1</v>
      </c>
      <c r="AF4" s="37" t="s">
        <v>329</v>
      </c>
      <c r="AG4">
        <v>1</v>
      </c>
      <c r="AH4" t="s">
        <v>336</v>
      </c>
      <c r="AI4" s="12" t="s">
        <v>6</v>
      </c>
      <c r="AJ4">
        <v>1</v>
      </c>
      <c r="BJ4" s="46" t="s">
        <v>330</v>
      </c>
    </row>
    <row r="5" spans="1:69" x14ac:dyDescent="0.2">
      <c r="O5"/>
    </row>
  </sheetData>
  <autoFilter ref="A1:U4" xr:uid="{00000000-0009-0000-0000-00000100000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H77"/>
  <sheetViews>
    <sheetView workbookViewId="0">
      <selection activeCell="C22" sqref="C22"/>
    </sheetView>
  </sheetViews>
  <sheetFormatPr baseColWidth="10" defaultColWidth="35.28515625" defaultRowHeight="11.25" x14ac:dyDescent="0.2"/>
  <cols>
    <col min="1" max="1" width="31.7109375" style="20" customWidth="1"/>
    <col min="2" max="2" width="23.85546875" style="21" bestFit="1" customWidth="1"/>
    <col min="3" max="3" width="10.140625" style="20" bestFit="1" customWidth="1"/>
    <col min="4" max="4" width="37.7109375" style="21" bestFit="1" customWidth="1"/>
    <col min="5" max="5" width="4.140625" style="20" bestFit="1" customWidth="1"/>
    <col min="6" max="6" width="5.5703125" style="22" bestFit="1" customWidth="1"/>
    <col min="7" max="7" width="7.85546875" style="22" bestFit="1" customWidth="1"/>
    <col min="8" max="8" width="6.28515625" style="22" bestFit="1" customWidth="1"/>
    <col min="9" max="256" width="35.28515625" style="19"/>
    <col min="257" max="257" width="31.7109375" style="19" customWidth="1"/>
    <col min="258" max="258" width="23.85546875" style="19" bestFit="1" customWidth="1"/>
    <col min="259" max="259" width="10.140625" style="19" bestFit="1" customWidth="1"/>
    <col min="260" max="260" width="37.7109375" style="19" bestFit="1" customWidth="1"/>
    <col min="261" max="261" width="4.140625" style="19" bestFit="1" customWidth="1"/>
    <col min="262" max="262" width="5.5703125" style="19" bestFit="1" customWidth="1"/>
    <col min="263" max="263" width="7.85546875" style="19" bestFit="1" customWidth="1"/>
    <col min="264" max="264" width="6.28515625" style="19" bestFit="1" customWidth="1"/>
    <col min="265" max="512" width="35.28515625" style="19"/>
    <col min="513" max="513" width="31.7109375" style="19" customWidth="1"/>
    <col min="514" max="514" width="23.85546875" style="19" bestFit="1" customWidth="1"/>
    <col min="515" max="515" width="10.140625" style="19" bestFit="1" customWidth="1"/>
    <col min="516" max="516" width="37.7109375" style="19" bestFit="1" customWidth="1"/>
    <col min="517" max="517" width="4.140625" style="19" bestFit="1" customWidth="1"/>
    <col min="518" max="518" width="5.5703125" style="19" bestFit="1" customWidth="1"/>
    <col min="519" max="519" width="7.85546875" style="19" bestFit="1" customWidth="1"/>
    <col min="520" max="520" width="6.28515625" style="19" bestFit="1" customWidth="1"/>
    <col min="521" max="768" width="35.28515625" style="19"/>
    <col min="769" max="769" width="31.7109375" style="19" customWidth="1"/>
    <col min="770" max="770" width="23.85546875" style="19" bestFit="1" customWidth="1"/>
    <col min="771" max="771" width="10.140625" style="19" bestFit="1" customWidth="1"/>
    <col min="772" max="772" width="37.7109375" style="19" bestFit="1" customWidth="1"/>
    <col min="773" max="773" width="4.140625" style="19" bestFit="1" customWidth="1"/>
    <col min="774" max="774" width="5.5703125" style="19" bestFit="1" customWidth="1"/>
    <col min="775" max="775" width="7.85546875" style="19" bestFit="1" customWidth="1"/>
    <col min="776" max="776" width="6.28515625" style="19" bestFit="1" customWidth="1"/>
    <col min="777" max="1024" width="35.28515625" style="19"/>
    <col min="1025" max="1025" width="31.7109375" style="19" customWidth="1"/>
    <col min="1026" max="1026" width="23.85546875" style="19" bestFit="1" customWidth="1"/>
    <col min="1027" max="1027" width="10.140625" style="19" bestFit="1" customWidth="1"/>
    <col min="1028" max="1028" width="37.7109375" style="19" bestFit="1" customWidth="1"/>
    <col min="1029" max="1029" width="4.140625" style="19" bestFit="1" customWidth="1"/>
    <col min="1030" max="1030" width="5.5703125" style="19" bestFit="1" customWidth="1"/>
    <col min="1031" max="1031" width="7.85546875" style="19" bestFit="1" customWidth="1"/>
    <col min="1032" max="1032" width="6.28515625" style="19" bestFit="1" customWidth="1"/>
    <col min="1033" max="1280" width="35.28515625" style="19"/>
    <col min="1281" max="1281" width="31.7109375" style="19" customWidth="1"/>
    <col min="1282" max="1282" width="23.85546875" style="19" bestFit="1" customWidth="1"/>
    <col min="1283" max="1283" width="10.140625" style="19" bestFit="1" customWidth="1"/>
    <col min="1284" max="1284" width="37.7109375" style="19" bestFit="1" customWidth="1"/>
    <col min="1285" max="1285" width="4.140625" style="19" bestFit="1" customWidth="1"/>
    <col min="1286" max="1286" width="5.5703125" style="19" bestFit="1" customWidth="1"/>
    <col min="1287" max="1287" width="7.85546875" style="19" bestFit="1" customWidth="1"/>
    <col min="1288" max="1288" width="6.28515625" style="19" bestFit="1" customWidth="1"/>
    <col min="1289" max="1536" width="35.28515625" style="19"/>
    <col min="1537" max="1537" width="31.7109375" style="19" customWidth="1"/>
    <col min="1538" max="1538" width="23.85546875" style="19" bestFit="1" customWidth="1"/>
    <col min="1539" max="1539" width="10.140625" style="19" bestFit="1" customWidth="1"/>
    <col min="1540" max="1540" width="37.7109375" style="19" bestFit="1" customWidth="1"/>
    <col min="1541" max="1541" width="4.140625" style="19" bestFit="1" customWidth="1"/>
    <col min="1542" max="1542" width="5.5703125" style="19" bestFit="1" customWidth="1"/>
    <col min="1543" max="1543" width="7.85546875" style="19" bestFit="1" customWidth="1"/>
    <col min="1544" max="1544" width="6.28515625" style="19" bestFit="1" customWidth="1"/>
    <col min="1545" max="1792" width="35.28515625" style="19"/>
    <col min="1793" max="1793" width="31.7109375" style="19" customWidth="1"/>
    <col min="1794" max="1794" width="23.85546875" style="19" bestFit="1" customWidth="1"/>
    <col min="1795" max="1795" width="10.140625" style="19" bestFit="1" customWidth="1"/>
    <col min="1796" max="1796" width="37.7109375" style="19" bestFit="1" customWidth="1"/>
    <col min="1797" max="1797" width="4.140625" style="19" bestFit="1" customWidth="1"/>
    <col min="1798" max="1798" width="5.5703125" style="19" bestFit="1" customWidth="1"/>
    <col min="1799" max="1799" width="7.85546875" style="19" bestFit="1" customWidth="1"/>
    <col min="1800" max="1800" width="6.28515625" style="19" bestFit="1" customWidth="1"/>
    <col min="1801" max="2048" width="35.28515625" style="19"/>
    <col min="2049" max="2049" width="31.7109375" style="19" customWidth="1"/>
    <col min="2050" max="2050" width="23.85546875" style="19" bestFit="1" customWidth="1"/>
    <col min="2051" max="2051" width="10.140625" style="19" bestFit="1" customWidth="1"/>
    <col min="2052" max="2052" width="37.7109375" style="19" bestFit="1" customWidth="1"/>
    <col min="2053" max="2053" width="4.140625" style="19" bestFit="1" customWidth="1"/>
    <col min="2054" max="2054" width="5.5703125" style="19" bestFit="1" customWidth="1"/>
    <col min="2055" max="2055" width="7.85546875" style="19" bestFit="1" customWidth="1"/>
    <col min="2056" max="2056" width="6.28515625" style="19" bestFit="1" customWidth="1"/>
    <col min="2057" max="2304" width="35.28515625" style="19"/>
    <col min="2305" max="2305" width="31.7109375" style="19" customWidth="1"/>
    <col min="2306" max="2306" width="23.85546875" style="19" bestFit="1" customWidth="1"/>
    <col min="2307" max="2307" width="10.140625" style="19" bestFit="1" customWidth="1"/>
    <col min="2308" max="2308" width="37.7109375" style="19" bestFit="1" customWidth="1"/>
    <col min="2309" max="2309" width="4.140625" style="19" bestFit="1" customWidth="1"/>
    <col min="2310" max="2310" width="5.5703125" style="19" bestFit="1" customWidth="1"/>
    <col min="2311" max="2311" width="7.85546875" style="19" bestFit="1" customWidth="1"/>
    <col min="2312" max="2312" width="6.28515625" style="19" bestFit="1" customWidth="1"/>
    <col min="2313" max="2560" width="35.28515625" style="19"/>
    <col min="2561" max="2561" width="31.7109375" style="19" customWidth="1"/>
    <col min="2562" max="2562" width="23.85546875" style="19" bestFit="1" customWidth="1"/>
    <col min="2563" max="2563" width="10.140625" style="19" bestFit="1" customWidth="1"/>
    <col min="2564" max="2564" width="37.7109375" style="19" bestFit="1" customWidth="1"/>
    <col min="2565" max="2565" width="4.140625" style="19" bestFit="1" customWidth="1"/>
    <col min="2566" max="2566" width="5.5703125" style="19" bestFit="1" customWidth="1"/>
    <col min="2567" max="2567" width="7.85546875" style="19" bestFit="1" customWidth="1"/>
    <col min="2568" max="2568" width="6.28515625" style="19" bestFit="1" customWidth="1"/>
    <col min="2569" max="2816" width="35.28515625" style="19"/>
    <col min="2817" max="2817" width="31.7109375" style="19" customWidth="1"/>
    <col min="2818" max="2818" width="23.85546875" style="19" bestFit="1" customWidth="1"/>
    <col min="2819" max="2819" width="10.140625" style="19" bestFit="1" customWidth="1"/>
    <col min="2820" max="2820" width="37.7109375" style="19" bestFit="1" customWidth="1"/>
    <col min="2821" max="2821" width="4.140625" style="19" bestFit="1" customWidth="1"/>
    <col min="2822" max="2822" width="5.5703125" style="19" bestFit="1" customWidth="1"/>
    <col min="2823" max="2823" width="7.85546875" style="19" bestFit="1" customWidth="1"/>
    <col min="2824" max="2824" width="6.28515625" style="19" bestFit="1" customWidth="1"/>
    <col min="2825" max="3072" width="35.28515625" style="19"/>
    <col min="3073" max="3073" width="31.7109375" style="19" customWidth="1"/>
    <col min="3074" max="3074" width="23.85546875" style="19" bestFit="1" customWidth="1"/>
    <col min="3075" max="3075" width="10.140625" style="19" bestFit="1" customWidth="1"/>
    <col min="3076" max="3076" width="37.7109375" style="19" bestFit="1" customWidth="1"/>
    <col min="3077" max="3077" width="4.140625" style="19" bestFit="1" customWidth="1"/>
    <col min="3078" max="3078" width="5.5703125" style="19" bestFit="1" customWidth="1"/>
    <col min="3079" max="3079" width="7.85546875" style="19" bestFit="1" customWidth="1"/>
    <col min="3080" max="3080" width="6.28515625" style="19" bestFit="1" customWidth="1"/>
    <col min="3081" max="3328" width="35.28515625" style="19"/>
    <col min="3329" max="3329" width="31.7109375" style="19" customWidth="1"/>
    <col min="3330" max="3330" width="23.85546875" style="19" bestFit="1" customWidth="1"/>
    <col min="3331" max="3331" width="10.140625" style="19" bestFit="1" customWidth="1"/>
    <col min="3332" max="3332" width="37.7109375" style="19" bestFit="1" customWidth="1"/>
    <col min="3333" max="3333" width="4.140625" style="19" bestFit="1" customWidth="1"/>
    <col min="3334" max="3334" width="5.5703125" style="19" bestFit="1" customWidth="1"/>
    <col min="3335" max="3335" width="7.85546875" style="19" bestFit="1" customWidth="1"/>
    <col min="3336" max="3336" width="6.28515625" style="19" bestFit="1" customWidth="1"/>
    <col min="3337" max="3584" width="35.28515625" style="19"/>
    <col min="3585" max="3585" width="31.7109375" style="19" customWidth="1"/>
    <col min="3586" max="3586" width="23.85546875" style="19" bestFit="1" customWidth="1"/>
    <col min="3587" max="3587" width="10.140625" style="19" bestFit="1" customWidth="1"/>
    <col min="3588" max="3588" width="37.7109375" style="19" bestFit="1" customWidth="1"/>
    <col min="3589" max="3589" width="4.140625" style="19" bestFit="1" customWidth="1"/>
    <col min="3590" max="3590" width="5.5703125" style="19" bestFit="1" customWidth="1"/>
    <col min="3591" max="3591" width="7.85546875" style="19" bestFit="1" customWidth="1"/>
    <col min="3592" max="3592" width="6.28515625" style="19" bestFit="1" customWidth="1"/>
    <col min="3593" max="3840" width="35.28515625" style="19"/>
    <col min="3841" max="3841" width="31.7109375" style="19" customWidth="1"/>
    <col min="3842" max="3842" width="23.85546875" style="19" bestFit="1" customWidth="1"/>
    <col min="3843" max="3843" width="10.140625" style="19" bestFit="1" customWidth="1"/>
    <col min="3844" max="3844" width="37.7109375" style="19" bestFit="1" customWidth="1"/>
    <col min="3845" max="3845" width="4.140625" style="19" bestFit="1" customWidth="1"/>
    <col min="3846" max="3846" width="5.5703125" style="19" bestFit="1" customWidth="1"/>
    <col min="3847" max="3847" width="7.85546875" style="19" bestFit="1" customWidth="1"/>
    <col min="3848" max="3848" width="6.28515625" style="19" bestFit="1" customWidth="1"/>
    <col min="3849" max="4096" width="35.28515625" style="19"/>
    <col min="4097" max="4097" width="31.7109375" style="19" customWidth="1"/>
    <col min="4098" max="4098" width="23.85546875" style="19" bestFit="1" customWidth="1"/>
    <col min="4099" max="4099" width="10.140625" style="19" bestFit="1" customWidth="1"/>
    <col min="4100" max="4100" width="37.7109375" style="19" bestFit="1" customWidth="1"/>
    <col min="4101" max="4101" width="4.140625" style="19" bestFit="1" customWidth="1"/>
    <col min="4102" max="4102" width="5.5703125" style="19" bestFit="1" customWidth="1"/>
    <col min="4103" max="4103" width="7.85546875" style="19" bestFit="1" customWidth="1"/>
    <col min="4104" max="4104" width="6.28515625" style="19" bestFit="1" customWidth="1"/>
    <col min="4105" max="4352" width="35.28515625" style="19"/>
    <col min="4353" max="4353" width="31.7109375" style="19" customWidth="1"/>
    <col min="4354" max="4354" width="23.85546875" style="19" bestFit="1" customWidth="1"/>
    <col min="4355" max="4355" width="10.140625" style="19" bestFit="1" customWidth="1"/>
    <col min="4356" max="4356" width="37.7109375" style="19" bestFit="1" customWidth="1"/>
    <col min="4357" max="4357" width="4.140625" style="19" bestFit="1" customWidth="1"/>
    <col min="4358" max="4358" width="5.5703125" style="19" bestFit="1" customWidth="1"/>
    <col min="4359" max="4359" width="7.85546875" style="19" bestFit="1" customWidth="1"/>
    <col min="4360" max="4360" width="6.28515625" style="19" bestFit="1" customWidth="1"/>
    <col min="4361" max="4608" width="35.28515625" style="19"/>
    <col min="4609" max="4609" width="31.7109375" style="19" customWidth="1"/>
    <col min="4610" max="4610" width="23.85546875" style="19" bestFit="1" customWidth="1"/>
    <col min="4611" max="4611" width="10.140625" style="19" bestFit="1" customWidth="1"/>
    <col min="4612" max="4612" width="37.7109375" style="19" bestFit="1" customWidth="1"/>
    <col min="4613" max="4613" width="4.140625" style="19" bestFit="1" customWidth="1"/>
    <col min="4614" max="4614" width="5.5703125" style="19" bestFit="1" customWidth="1"/>
    <col min="4615" max="4615" width="7.85546875" style="19" bestFit="1" customWidth="1"/>
    <col min="4616" max="4616" width="6.28515625" style="19" bestFit="1" customWidth="1"/>
    <col min="4617" max="4864" width="35.28515625" style="19"/>
    <col min="4865" max="4865" width="31.7109375" style="19" customWidth="1"/>
    <col min="4866" max="4866" width="23.85546875" style="19" bestFit="1" customWidth="1"/>
    <col min="4867" max="4867" width="10.140625" style="19" bestFit="1" customWidth="1"/>
    <col min="4868" max="4868" width="37.7109375" style="19" bestFit="1" customWidth="1"/>
    <col min="4869" max="4869" width="4.140625" style="19" bestFit="1" customWidth="1"/>
    <col min="4870" max="4870" width="5.5703125" style="19" bestFit="1" customWidth="1"/>
    <col min="4871" max="4871" width="7.85546875" style="19" bestFit="1" customWidth="1"/>
    <col min="4872" max="4872" width="6.28515625" style="19" bestFit="1" customWidth="1"/>
    <col min="4873" max="5120" width="35.28515625" style="19"/>
    <col min="5121" max="5121" width="31.7109375" style="19" customWidth="1"/>
    <col min="5122" max="5122" width="23.85546875" style="19" bestFit="1" customWidth="1"/>
    <col min="5123" max="5123" width="10.140625" style="19" bestFit="1" customWidth="1"/>
    <col min="5124" max="5124" width="37.7109375" style="19" bestFit="1" customWidth="1"/>
    <col min="5125" max="5125" width="4.140625" style="19" bestFit="1" customWidth="1"/>
    <col min="5126" max="5126" width="5.5703125" style="19" bestFit="1" customWidth="1"/>
    <col min="5127" max="5127" width="7.85546875" style="19" bestFit="1" customWidth="1"/>
    <col min="5128" max="5128" width="6.28515625" style="19" bestFit="1" customWidth="1"/>
    <col min="5129" max="5376" width="35.28515625" style="19"/>
    <col min="5377" max="5377" width="31.7109375" style="19" customWidth="1"/>
    <col min="5378" max="5378" width="23.85546875" style="19" bestFit="1" customWidth="1"/>
    <col min="5379" max="5379" width="10.140625" style="19" bestFit="1" customWidth="1"/>
    <col min="5380" max="5380" width="37.7109375" style="19" bestFit="1" customWidth="1"/>
    <col min="5381" max="5381" width="4.140625" style="19" bestFit="1" customWidth="1"/>
    <col min="5382" max="5382" width="5.5703125" style="19" bestFit="1" customWidth="1"/>
    <col min="5383" max="5383" width="7.85546875" style="19" bestFit="1" customWidth="1"/>
    <col min="5384" max="5384" width="6.28515625" style="19" bestFit="1" customWidth="1"/>
    <col min="5385" max="5632" width="35.28515625" style="19"/>
    <col min="5633" max="5633" width="31.7109375" style="19" customWidth="1"/>
    <col min="5634" max="5634" width="23.85546875" style="19" bestFit="1" customWidth="1"/>
    <col min="5635" max="5635" width="10.140625" style="19" bestFit="1" customWidth="1"/>
    <col min="5636" max="5636" width="37.7109375" style="19" bestFit="1" customWidth="1"/>
    <col min="5637" max="5637" width="4.140625" style="19" bestFit="1" customWidth="1"/>
    <col min="5638" max="5638" width="5.5703125" style="19" bestFit="1" customWidth="1"/>
    <col min="5639" max="5639" width="7.85546875" style="19" bestFit="1" customWidth="1"/>
    <col min="5640" max="5640" width="6.28515625" style="19" bestFit="1" customWidth="1"/>
    <col min="5641" max="5888" width="35.28515625" style="19"/>
    <col min="5889" max="5889" width="31.7109375" style="19" customWidth="1"/>
    <col min="5890" max="5890" width="23.85546875" style="19" bestFit="1" customWidth="1"/>
    <col min="5891" max="5891" width="10.140625" style="19" bestFit="1" customWidth="1"/>
    <col min="5892" max="5892" width="37.7109375" style="19" bestFit="1" customWidth="1"/>
    <col min="5893" max="5893" width="4.140625" style="19" bestFit="1" customWidth="1"/>
    <col min="5894" max="5894" width="5.5703125" style="19" bestFit="1" customWidth="1"/>
    <col min="5895" max="5895" width="7.85546875" style="19" bestFit="1" customWidth="1"/>
    <col min="5896" max="5896" width="6.28515625" style="19" bestFit="1" customWidth="1"/>
    <col min="5897" max="6144" width="35.28515625" style="19"/>
    <col min="6145" max="6145" width="31.7109375" style="19" customWidth="1"/>
    <col min="6146" max="6146" width="23.85546875" style="19" bestFit="1" customWidth="1"/>
    <col min="6147" max="6147" width="10.140625" style="19" bestFit="1" customWidth="1"/>
    <col min="6148" max="6148" width="37.7109375" style="19" bestFit="1" customWidth="1"/>
    <col min="6149" max="6149" width="4.140625" style="19" bestFit="1" customWidth="1"/>
    <col min="6150" max="6150" width="5.5703125" style="19" bestFit="1" customWidth="1"/>
    <col min="6151" max="6151" width="7.85546875" style="19" bestFit="1" customWidth="1"/>
    <col min="6152" max="6152" width="6.28515625" style="19" bestFit="1" customWidth="1"/>
    <col min="6153" max="6400" width="35.28515625" style="19"/>
    <col min="6401" max="6401" width="31.7109375" style="19" customWidth="1"/>
    <col min="6402" max="6402" width="23.85546875" style="19" bestFit="1" customWidth="1"/>
    <col min="6403" max="6403" width="10.140625" style="19" bestFit="1" customWidth="1"/>
    <col min="6404" max="6404" width="37.7109375" style="19" bestFit="1" customWidth="1"/>
    <col min="6405" max="6405" width="4.140625" style="19" bestFit="1" customWidth="1"/>
    <col min="6406" max="6406" width="5.5703125" style="19" bestFit="1" customWidth="1"/>
    <col min="6407" max="6407" width="7.85546875" style="19" bestFit="1" customWidth="1"/>
    <col min="6408" max="6408" width="6.28515625" style="19" bestFit="1" customWidth="1"/>
    <col min="6409" max="6656" width="35.28515625" style="19"/>
    <col min="6657" max="6657" width="31.7109375" style="19" customWidth="1"/>
    <col min="6658" max="6658" width="23.85546875" style="19" bestFit="1" customWidth="1"/>
    <col min="6659" max="6659" width="10.140625" style="19" bestFit="1" customWidth="1"/>
    <col min="6660" max="6660" width="37.7109375" style="19" bestFit="1" customWidth="1"/>
    <col min="6661" max="6661" width="4.140625" style="19" bestFit="1" customWidth="1"/>
    <col min="6662" max="6662" width="5.5703125" style="19" bestFit="1" customWidth="1"/>
    <col min="6663" max="6663" width="7.85546875" style="19" bestFit="1" customWidth="1"/>
    <col min="6664" max="6664" width="6.28515625" style="19" bestFit="1" customWidth="1"/>
    <col min="6665" max="6912" width="35.28515625" style="19"/>
    <col min="6913" max="6913" width="31.7109375" style="19" customWidth="1"/>
    <col min="6914" max="6914" width="23.85546875" style="19" bestFit="1" customWidth="1"/>
    <col min="6915" max="6915" width="10.140625" style="19" bestFit="1" customWidth="1"/>
    <col min="6916" max="6916" width="37.7109375" style="19" bestFit="1" customWidth="1"/>
    <col min="6917" max="6917" width="4.140625" style="19" bestFit="1" customWidth="1"/>
    <col min="6918" max="6918" width="5.5703125" style="19" bestFit="1" customWidth="1"/>
    <col min="6919" max="6919" width="7.85546875" style="19" bestFit="1" customWidth="1"/>
    <col min="6920" max="6920" width="6.28515625" style="19" bestFit="1" customWidth="1"/>
    <col min="6921" max="7168" width="35.28515625" style="19"/>
    <col min="7169" max="7169" width="31.7109375" style="19" customWidth="1"/>
    <col min="7170" max="7170" width="23.85546875" style="19" bestFit="1" customWidth="1"/>
    <col min="7171" max="7171" width="10.140625" style="19" bestFit="1" customWidth="1"/>
    <col min="7172" max="7172" width="37.7109375" style="19" bestFit="1" customWidth="1"/>
    <col min="7173" max="7173" width="4.140625" style="19" bestFit="1" customWidth="1"/>
    <col min="7174" max="7174" width="5.5703125" style="19" bestFit="1" customWidth="1"/>
    <col min="7175" max="7175" width="7.85546875" style="19" bestFit="1" customWidth="1"/>
    <col min="7176" max="7176" width="6.28515625" style="19" bestFit="1" customWidth="1"/>
    <col min="7177" max="7424" width="35.28515625" style="19"/>
    <col min="7425" max="7425" width="31.7109375" style="19" customWidth="1"/>
    <col min="7426" max="7426" width="23.85546875" style="19" bestFit="1" customWidth="1"/>
    <col min="7427" max="7427" width="10.140625" style="19" bestFit="1" customWidth="1"/>
    <col min="7428" max="7428" width="37.7109375" style="19" bestFit="1" customWidth="1"/>
    <col min="7429" max="7429" width="4.140625" style="19" bestFit="1" customWidth="1"/>
    <col min="7430" max="7430" width="5.5703125" style="19" bestFit="1" customWidth="1"/>
    <col min="7431" max="7431" width="7.85546875" style="19" bestFit="1" customWidth="1"/>
    <col min="7432" max="7432" width="6.28515625" style="19" bestFit="1" customWidth="1"/>
    <col min="7433" max="7680" width="35.28515625" style="19"/>
    <col min="7681" max="7681" width="31.7109375" style="19" customWidth="1"/>
    <col min="7682" max="7682" width="23.85546875" style="19" bestFit="1" customWidth="1"/>
    <col min="7683" max="7683" width="10.140625" style="19" bestFit="1" customWidth="1"/>
    <col min="7684" max="7684" width="37.7109375" style="19" bestFit="1" customWidth="1"/>
    <col min="7685" max="7685" width="4.140625" style="19" bestFit="1" customWidth="1"/>
    <col min="7686" max="7686" width="5.5703125" style="19" bestFit="1" customWidth="1"/>
    <col min="7687" max="7687" width="7.85546875" style="19" bestFit="1" customWidth="1"/>
    <col min="7688" max="7688" width="6.28515625" style="19" bestFit="1" customWidth="1"/>
    <col min="7689" max="7936" width="35.28515625" style="19"/>
    <col min="7937" max="7937" width="31.7109375" style="19" customWidth="1"/>
    <col min="7938" max="7938" width="23.85546875" style="19" bestFit="1" customWidth="1"/>
    <col min="7939" max="7939" width="10.140625" style="19" bestFit="1" customWidth="1"/>
    <col min="7940" max="7940" width="37.7109375" style="19" bestFit="1" customWidth="1"/>
    <col min="7941" max="7941" width="4.140625" style="19" bestFit="1" customWidth="1"/>
    <col min="7942" max="7942" width="5.5703125" style="19" bestFit="1" customWidth="1"/>
    <col min="7943" max="7943" width="7.85546875" style="19" bestFit="1" customWidth="1"/>
    <col min="7944" max="7944" width="6.28515625" style="19" bestFit="1" customWidth="1"/>
    <col min="7945" max="8192" width="35.28515625" style="19"/>
    <col min="8193" max="8193" width="31.7109375" style="19" customWidth="1"/>
    <col min="8194" max="8194" width="23.85546875" style="19" bestFit="1" customWidth="1"/>
    <col min="8195" max="8195" width="10.140625" style="19" bestFit="1" customWidth="1"/>
    <col min="8196" max="8196" width="37.7109375" style="19" bestFit="1" customWidth="1"/>
    <col min="8197" max="8197" width="4.140625" style="19" bestFit="1" customWidth="1"/>
    <col min="8198" max="8198" width="5.5703125" style="19" bestFit="1" customWidth="1"/>
    <col min="8199" max="8199" width="7.85546875" style="19" bestFit="1" customWidth="1"/>
    <col min="8200" max="8200" width="6.28515625" style="19" bestFit="1" customWidth="1"/>
    <col min="8201" max="8448" width="35.28515625" style="19"/>
    <col min="8449" max="8449" width="31.7109375" style="19" customWidth="1"/>
    <col min="8450" max="8450" width="23.85546875" style="19" bestFit="1" customWidth="1"/>
    <col min="8451" max="8451" width="10.140625" style="19" bestFit="1" customWidth="1"/>
    <col min="8452" max="8452" width="37.7109375" style="19" bestFit="1" customWidth="1"/>
    <col min="8453" max="8453" width="4.140625" style="19" bestFit="1" customWidth="1"/>
    <col min="8454" max="8454" width="5.5703125" style="19" bestFit="1" customWidth="1"/>
    <col min="8455" max="8455" width="7.85546875" style="19" bestFit="1" customWidth="1"/>
    <col min="8456" max="8456" width="6.28515625" style="19" bestFit="1" customWidth="1"/>
    <col min="8457" max="8704" width="35.28515625" style="19"/>
    <col min="8705" max="8705" width="31.7109375" style="19" customWidth="1"/>
    <col min="8706" max="8706" width="23.85546875" style="19" bestFit="1" customWidth="1"/>
    <col min="8707" max="8707" width="10.140625" style="19" bestFit="1" customWidth="1"/>
    <col min="8708" max="8708" width="37.7109375" style="19" bestFit="1" customWidth="1"/>
    <col min="8709" max="8709" width="4.140625" style="19" bestFit="1" customWidth="1"/>
    <col min="8710" max="8710" width="5.5703125" style="19" bestFit="1" customWidth="1"/>
    <col min="8711" max="8711" width="7.85546875" style="19" bestFit="1" customWidth="1"/>
    <col min="8712" max="8712" width="6.28515625" style="19" bestFit="1" customWidth="1"/>
    <col min="8713" max="8960" width="35.28515625" style="19"/>
    <col min="8961" max="8961" width="31.7109375" style="19" customWidth="1"/>
    <col min="8962" max="8962" width="23.85546875" style="19" bestFit="1" customWidth="1"/>
    <col min="8963" max="8963" width="10.140625" style="19" bestFit="1" customWidth="1"/>
    <col min="8964" max="8964" width="37.7109375" style="19" bestFit="1" customWidth="1"/>
    <col min="8965" max="8965" width="4.140625" style="19" bestFit="1" customWidth="1"/>
    <col min="8966" max="8966" width="5.5703125" style="19" bestFit="1" customWidth="1"/>
    <col min="8967" max="8967" width="7.85546875" style="19" bestFit="1" customWidth="1"/>
    <col min="8968" max="8968" width="6.28515625" style="19" bestFit="1" customWidth="1"/>
    <col min="8969" max="9216" width="35.28515625" style="19"/>
    <col min="9217" max="9217" width="31.7109375" style="19" customWidth="1"/>
    <col min="9218" max="9218" width="23.85546875" style="19" bestFit="1" customWidth="1"/>
    <col min="9219" max="9219" width="10.140625" style="19" bestFit="1" customWidth="1"/>
    <col min="9220" max="9220" width="37.7109375" style="19" bestFit="1" customWidth="1"/>
    <col min="9221" max="9221" width="4.140625" style="19" bestFit="1" customWidth="1"/>
    <col min="9222" max="9222" width="5.5703125" style="19" bestFit="1" customWidth="1"/>
    <col min="9223" max="9223" width="7.85546875" style="19" bestFit="1" customWidth="1"/>
    <col min="9224" max="9224" width="6.28515625" style="19" bestFit="1" customWidth="1"/>
    <col min="9225" max="9472" width="35.28515625" style="19"/>
    <col min="9473" max="9473" width="31.7109375" style="19" customWidth="1"/>
    <col min="9474" max="9474" width="23.85546875" style="19" bestFit="1" customWidth="1"/>
    <col min="9475" max="9475" width="10.140625" style="19" bestFit="1" customWidth="1"/>
    <col min="9476" max="9476" width="37.7109375" style="19" bestFit="1" customWidth="1"/>
    <col min="9477" max="9477" width="4.140625" style="19" bestFit="1" customWidth="1"/>
    <col min="9478" max="9478" width="5.5703125" style="19" bestFit="1" customWidth="1"/>
    <col min="9479" max="9479" width="7.85546875" style="19" bestFit="1" customWidth="1"/>
    <col min="9480" max="9480" width="6.28515625" style="19" bestFit="1" customWidth="1"/>
    <col min="9481" max="9728" width="35.28515625" style="19"/>
    <col min="9729" max="9729" width="31.7109375" style="19" customWidth="1"/>
    <col min="9730" max="9730" width="23.85546875" style="19" bestFit="1" customWidth="1"/>
    <col min="9731" max="9731" width="10.140625" style="19" bestFit="1" customWidth="1"/>
    <col min="9732" max="9732" width="37.7109375" style="19" bestFit="1" customWidth="1"/>
    <col min="9733" max="9733" width="4.140625" style="19" bestFit="1" customWidth="1"/>
    <col min="9734" max="9734" width="5.5703125" style="19" bestFit="1" customWidth="1"/>
    <col min="9735" max="9735" width="7.85546875" style="19" bestFit="1" customWidth="1"/>
    <col min="9736" max="9736" width="6.28515625" style="19" bestFit="1" customWidth="1"/>
    <col min="9737" max="9984" width="35.28515625" style="19"/>
    <col min="9985" max="9985" width="31.7109375" style="19" customWidth="1"/>
    <col min="9986" max="9986" width="23.85546875" style="19" bestFit="1" customWidth="1"/>
    <col min="9987" max="9987" width="10.140625" style="19" bestFit="1" customWidth="1"/>
    <col min="9988" max="9988" width="37.7109375" style="19" bestFit="1" customWidth="1"/>
    <col min="9989" max="9989" width="4.140625" style="19" bestFit="1" customWidth="1"/>
    <col min="9990" max="9990" width="5.5703125" style="19" bestFit="1" customWidth="1"/>
    <col min="9991" max="9991" width="7.85546875" style="19" bestFit="1" customWidth="1"/>
    <col min="9992" max="9992" width="6.28515625" style="19" bestFit="1" customWidth="1"/>
    <col min="9993" max="10240" width="35.28515625" style="19"/>
    <col min="10241" max="10241" width="31.7109375" style="19" customWidth="1"/>
    <col min="10242" max="10242" width="23.85546875" style="19" bestFit="1" customWidth="1"/>
    <col min="10243" max="10243" width="10.140625" style="19" bestFit="1" customWidth="1"/>
    <col min="10244" max="10244" width="37.7109375" style="19" bestFit="1" customWidth="1"/>
    <col min="10245" max="10245" width="4.140625" style="19" bestFit="1" customWidth="1"/>
    <col min="10246" max="10246" width="5.5703125" style="19" bestFit="1" customWidth="1"/>
    <col min="10247" max="10247" width="7.85546875" style="19" bestFit="1" customWidth="1"/>
    <col min="10248" max="10248" width="6.28515625" style="19" bestFit="1" customWidth="1"/>
    <col min="10249" max="10496" width="35.28515625" style="19"/>
    <col min="10497" max="10497" width="31.7109375" style="19" customWidth="1"/>
    <col min="10498" max="10498" width="23.85546875" style="19" bestFit="1" customWidth="1"/>
    <col min="10499" max="10499" width="10.140625" style="19" bestFit="1" customWidth="1"/>
    <col min="10500" max="10500" width="37.7109375" style="19" bestFit="1" customWidth="1"/>
    <col min="10501" max="10501" width="4.140625" style="19" bestFit="1" customWidth="1"/>
    <col min="10502" max="10502" width="5.5703125" style="19" bestFit="1" customWidth="1"/>
    <col min="10503" max="10503" width="7.85546875" style="19" bestFit="1" customWidth="1"/>
    <col min="10504" max="10504" width="6.28515625" style="19" bestFit="1" customWidth="1"/>
    <col min="10505" max="10752" width="35.28515625" style="19"/>
    <col min="10753" max="10753" width="31.7109375" style="19" customWidth="1"/>
    <col min="10754" max="10754" width="23.85546875" style="19" bestFit="1" customWidth="1"/>
    <col min="10755" max="10755" width="10.140625" style="19" bestFit="1" customWidth="1"/>
    <col min="10756" max="10756" width="37.7109375" style="19" bestFit="1" customWidth="1"/>
    <col min="10757" max="10757" width="4.140625" style="19" bestFit="1" customWidth="1"/>
    <col min="10758" max="10758" width="5.5703125" style="19" bestFit="1" customWidth="1"/>
    <col min="10759" max="10759" width="7.85546875" style="19" bestFit="1" customWidth="1"/>
    <col min="10760" max="10760" width="6.28515625" style="19" bestFit="1" customWidth="1"/>
    <col min="10761" max="11008" width="35.28515625" style="19"/>
    <col min="11009" max="11009" width="31.7109375" style="19" customWidth="1"/>
    <col min="11010" max="11010" width="23.85546875" style="19" bestFit="1" customWidth="1"/>
    <col min="11011" max="11011" width="10.140625" style="19" bestFit="1" customWidth="1"/>
    <col min="11012" max="11012" width="37.7109375" style="19" bestFit="1" customWidth="1"/>
    <col min="11013" max="11013" width="4.140625" style="19" bestFit="1" customWidth="1"/>
    <col min="11014" max="11014" width="5.5703125" style="19" bestFit="1" customWidth="1"/>
    <col min="11015" max="11015" width="7.85546875" style="19" bestFit="1" customWidth="1"/>
    <col min="11016" max="11016" width="6.28515625" style="19" bestFit="1" customWidth="1"/>
    <col min="11017" max="11264" width="35.28515625" style="19"/>
    <col min="11265" max="11265" width="31.7109375" style="19" customWidth="1"/>
    <col min="11266" max="11266" width="23.85546875" style="19" bestFit="1" customWidth="1"/>
    <col min="11267" max="11267" width="10.140625" style="19" bestFit="1" customWidth="1"/>
    <col min="11268" max="11268" width="37.7109375" style="19" bestFit="1" customWidth="1"/>
    <col min="11269" max="11269" width="4.140625" style="19" bestFit="1" customWidth="1"/>
    <col min="11270" max="11270" width="5.5703125" style="19" bestFit="1" customWidth="1"/>
    <col min="11271" max="11271" width="7.85546875" style="19" bestFit="1" customWidth="1"/>
    <col min="11272" max="11272" width="6.28515625" style="19" bestFit="1" customWidth="1"/>
    <col min="11273" max="11520" width="35.28515625" style="19"/>
    <col min="11521" max="11521" width="31.7109375" style="19" customWidth="1"/>
    <col min="11522" max="11522" width="23.85546875" style="19" bestFit="1" customWidth="1"/>
    <col min="11523" max="11523" width="10.140625" style="19" bestFit="1" customWidth="1"/>
    <col min="11524" max="11524" width="37.7109375" style="19" bestFit="1" customWidth="1"/>
    <col min="11525" max="11525" width="4.140625" style="19" bestFit="1" customWidth="1"/>
    <col min="11526" max="11526" width="5.5703125" style="19" bestFit="1" customWidth="1"/>
    <col min="11527" max="11527" width="7.85546875" style="19" bestFit="1" customWidth="1"/>
    <col min="11528" max="11528" width="6.28515625" style="19" bestFit="1" customWidth="1"/>
    <col min="11529" max="11776" width="35.28515625" style="19"/>
    <col min="11777" max="11777" width="31.7109375" style="19" customWidth="1"/>
    <col min="11778" max="11778" width="23.85546875" style="19" bestFit="1" customWidth="1"/>
    <col min="11779" max="11779" width="10.140625" style="19" bestFit="1" customWidth="1"/>
    <col min="11780" max="11780" width="37.7109375" style="19" bestFit="1" customWidth="1"/>
    <col min="11781" max="11781" width="4.140625" style="19" bestFit="1" customWidth="1"/>
    <col min="11782" max="11782" width="5.5703125" style="19" bestFit="1" customWidth="1"/>
    <col min="11783" max="11783" width="7.85546875" style="19" bestFit="1" customWidth="1"/>
    <col min="11784" max="11784" width="6.28515625" style="19" bestFit="1" customWidth="1"/>
    <col min="11785" max="12032" width="35.28515625" style="19"/>
    <col min="12033" max="12033" width="31.7109375" style="19" customWidth="1"/>
    <col min="12034" max="12034" width="23.85546875" style="19" bestFit="1" customWidth="1"/>
    <col min="12035" max="12035" width="10.140625" style="19" bestFit="1" customWidth="1"/>
    <col min="12036" max="12036" width="37.7109375" style="19" bestFit="1" customWidth="1"/>
    <col min="12037" max="12037" width="4.140625" style="19" bestFit="1" customWidth="1"/>
    <col min="12038" max="12038" width="5.5703125" style="19" bestFit="1" customWidth="1"/>
    <col min="12039" max="12039" width="7.85546875" style="19" bestFit="1" customWidth="1"/>
    <col min="12040" max="12040" width="6.28515625" style="19" bestFit="1" customWidth="1"/>
    <col min="12041" max="12288" width="35.28515625" style="19"/>
    <col min="12289" max="12289" width="31.7109375" style="19" customWidth="1"/>
    <col min="12290" max="12290" width="23.85546875" style="19" bestFit="1" customWidth="1"/>
    <col min="12291" max="12291" width="10.140625" style="19" bestFit="1" customWidth="1"/>
    <col min="12292" max="12292" width="37.7109375" style="19" bestFit="1" customWidth="1"/>
    <col min="12293" max="12293" width="4.140625" style="19" bestFit="1" customWidth="1"/>
    <col min="12294" max="12294" width="5.5703125" style="19" bestFit="1" customWidth="1"/>
    <col min="12295" max="12295" width="7.85546875" style="19" bestFit="1" customWidth="1"/>
    <col min="12296" max="12296" width="6.28515625" style="19" bestFit="1" customWidth="1"/>
    <col min="12297" max="12544" width="35.28515625" style="19"/>
    <col min="12545" max="12545" width="31.7109375" style="19" customWidth="1"/>
    <col min="12546" max="12546" width="23.85546875" style="19" bestFit="1" customWidth="1"/>
    <col min="12547" max="12547" width="10.140625" style="19" bestFit="1" customWidth="1"/>
    <col min="12548" max="12548" width="37.7109375" style="19" bestFit="1" customWidth="1"/>
    <col min="12549" max="12549" width="4.140625" style="19" bestFit="1" customWidth="1"/>
    <col min="12550" max="12550" width="5.5703125" style="19" bestFit="1" customWidth="1"/>
    <col min="12551" max="12551" width="7.85546875" style="19" bestFit="1" customWidth="1"/>
    <col min="12552" max="12552" width="6.28515625" style="19" bestFit="1" customWidth="1"/>
    <col min="12553" max="12800" width="35.28515625" style="19"/>
    <col min="12801" max="12801" width="31.7109375" style="19" customWidth="1"/>
    <col min="12802" max="12802" width="23.85546875" style="19" bestFit="1" customWidth="1"/>
    <col min="12803" max="12803" width="10.140625" style="19" bestFit="1" customWidth="1"/>
    <col min="12804" max="12804" width="37.7109375" style="19" bestFit="1" customWidth="1"/>
    <col min="12805" max="12805" width="4.140625" style="19" bestFit="1" customWidth="1"/>
    <col min="12806" max="12806" width="5.5703125" style="19" bestFit="1" customWidth="1"/>
    <col min="12807" max="12807" width="7.85546875" style="19" bestFit="1" customWidth="1"/>
    <col min="12808" max="12808" width="6.28515625" style="19" bestFit="1" customWidth="1"/>
    <col min="12809" max="13056" width="35.28515625" style="19"/>
    <col min="13057" max="13057" width="31.7109375" style="19" customWidth="1"/>
    <col min="13058" max="13058" width="23.85546875" style="19" bestFit="1" customWidth="1"/>
    <col min="13059" max="13059" width="10.140625" style="19" bestFit="1" customWidth="1"/>
    <col min="13060" max="13060" width="37.7109375" style="19" bestFit="1" customWidth="1"/>
    <col min="13061" max="13061" width="4.140625" style="19" bestFit="1" customWidth="1"/>
    <col min="13062" max="13062" width="5.5703125" style="19" bestFit="1" customWidth="1"/>
    <col min="13063" max="13063" width="7.85546875" style="19" bestFit="1" customWidth="1"/>
    <col min="13064" max="13064" width="6.28515625" style="19" bestFit="1" customWidth="1"/>
    <col min="13065" max="13312" width="35.28515625" style="19"/>
    <col min="13313" max="13313" width="31.7109375" style="19" customWidth="1"/>
    <col min="13314" max="13314" width="23.85546875" style="19" bestFit="1" customWidth="1"/>
    <col min="13315" max="13315" width="10.140625" style="19" bestFit="1" customWidth="1"/>
    <col min="13316" max="13316" width="37.7109375" style="19" bestFit="1" customWidth="1"/>
    <col min="13317" max="13317" width="4.140625" style="19" bestFit="1" customWidth="1"/>
    <col min="13318" max="13318" width="5.5703125" style="19" bestFit="1" customWidth="1"/>
    <col min="13319" max="13319" width="7.85546875" style="19" bestFit="1" customWidth="1"/>
    <col min="13320" max="13320" width="6.28515625" style="19" bestFit="1" customWidth="1"/>
    <col min="13321" max="13568" width="35.28515625" style="19"/>
    <col min="13569" max="13569" width="31.7109375" style="19" customWidth="1"/>
    <col min="13570" max="13570" width="23.85546875" style="19" bestFit="1" customWidth="1"/>
    <col min="13571" max="13571" width="10.140625" style="19" bestFit="1" customWidth="1"/>
    <col min="13572" max="13572" width="37.7109375" style="19" bestFit="1" customWidth="1"/>
    <col min="13573" max="13573" width="4.140625" style="19" bestFit="1" customWidth="1"/>
    <col min="13574" max="13574" width="5.5703125" style="19" bestFit="1" customWidth="1"/>
    <col min="13575" max="13575" width="7.85546875" style="19" bestFit="1" customWidth="1"/>
    <col min="13576" max="13576" width="6.28515625" style="19" bestFit="1" customWidth="1"/>
    <col min="13577" max="13824" width="35.28515625" style="19"/>
    <col min="13825" max="13825" width="31.7109375" style="19" customWidth="1"/>
    <col min="13826" max="13826" width="23.85546875" style="19" bestFit="1" customWidth="1"/>
    <col min="13827" max="13827" width="10.140625" style="19" bestFit="1" customWidth="1"/>
    <col min="13828" max="13828" width="37.7109375" style="19" bestFit="1" customWidth="1"/>
    <col min="13829" max="13829" width="4.140625" style="19" bestFit="1" customWidth="1"/>
    <col min="13830" max="13830" width="5.5703125" style="19" bestFit="1" customWidth="1"/>
    <col min="13831" max="13831" width="7.85546875" style="19" bestFit="1" customWidth="1"/>
    <col min="13832" max="13832" width="6.28515625" style="19" bestFit="1" customWidth="1"/>
    <col min="13833" max="14080" width="35.28515625" style="19"/>
    <col min="14081" max="14081" width="31.7109375" style="19" customWidth="1"/>
    <col min="14082" max="14082" width="23.85546875" style="19" bestFit="1" customWidth="1"/>
    <col min="14083" max="14083" width="10.140625" style="19" bestFit="1" customWidth="1"/>
    <col min="14084" max="14084" width="37.7109375" style="19" bestFit="1" customWidth="1"/>
    <col min="14085" max="14085" width="4.140625" style="19" bestFit="1" customWidth="1"/>
    <col min="14086" max="14086" width="5.5703125" style="19" bestFit="1" customWidth="1"/>
    <col min="14087" max="14087" width="7.85546875" style="19" bestFit="1" customWidth="1"/>
    <col min="14088" max="14088" width="6.28515625" style="19" bestFit="1" customWidth="1"/>
    <col min="14089" max="14336" width="35.28515625" style="19"/>
    <col min="14337" max="14337" width="31.7109375" style="19" customWidth="1"/>
    <col min="14338" max="14338" width="23.85546875" style="19" bestFit="1" customWidth="1"/>
    <col min="14339" max="14339" width="10.140625" style="19" bestFit="1" customWidth="1"/>
    <col min="14340" max="14340" width="37.7109375" style="19" bestFit="1" customWidth="1"/>
    <col min="14341" max="14341" width="4.140625" style="19" bestFit="1" customWidth="1"/>
    <col min="14342" max="14342" width="5.5703125" style="19" bestFit="1" customWidth="1"/>
    <col min="14343" max="14343" width="7.85546875" style="19" bestFit="1" customWidth="1"/>
    <col min="14344" max="14344" width="6.28515625" style="19" bestFit="1" customWidth="1"/>
    <col min="14345" max="14592" width="35.28515625" style="19"/>
    <col min="14593" max="14593" width="31.7109375" style="19" customWidth="1"/>
    <col min="14594" max="14594" width="23.85546875" style="19" bestFit="1" customWidth="1"/>
    <col min="14595" max="14595" width="10.140625" style="19" bestFit="1" customWidth="1"/>
    <col min="14596" max="14596" width="37.7109375" style="19" bestFit="1" customWidth="1"/>
    <col min="14597" max="14597" width="4.140625" style="19" bestFit="1" customWidth="1"/>
    <col min="14598" max="14598" width="5.5703125" style="19" bestFit="1" customWidth="1"/>
    <col min="14599" max="14599" width="7.85546875" style="19" bestFit="1" customWidth="1"/>
    <col min="14600" max="14600" width="6.28515625" style="19" bestFit="1" customWidth="1"/>
    <col min="14601" max="14848" width="35.28515625" style="19"/>
    <col min="14849" max="14849" width="31.7109375" style="19" customWidth="1"/>
    <col min="14850" max="14850" width="23.85546875" style="19" bestFit="1" customWidth="1"/>
    <col min="14851" max="14851" width="10.140625" style="19" bestFit="1" customWidth="1"/>
    <col min="14852" max="14852" width="37.7109375" style="19" bestFit="1" customWidth="1"/>
    <col min="14853" max="14853" width="4.140625" style="19" bestFit="1" customWidth="1"/>
    <col min="14854" max="14854" width="5.5703125" style="19" bestFit="1" customWidth="1"/>
    <col min="14855" max="14855" width="7.85546875" style="19" bestFit="1" customWidth="1"/>
    <col min="14856" max="14856" width="6.28515625" style="19" bestFit="1" customWidth="1"/>
    <col min="14857" max="15104" width="35.28515625" style="19"/>
    <col min="15105" max="15105" width="31.7109375" style="19" customWidth="1"/>
    <col min="15106" max="15106" width="23.85546875" style="19" bestFit="1" customWidth="1"/>
    <col min="15107" max="15107" width="10.140625" style="19" bestFit="1" customWidth="1"/>
    <col min="15108" max="15108" width="37.7109375" style="19" bestFit="1" customWidth="1"/>
    <col min="15109" max="15109" width="4.140625" style="19" bestFit="1" customWidth="1"/>
    <col min="15110" max="15110" width="5.5703125" style="19" bestFit="1" customWidth="1"/>
    <col min="15111" max="15111" width="7.85546875" style="19" bestFit="1" customWidth="1"/>
    <col min="15112" max="15112" width="6.28515625" style="19" bestFit="1" customWidth="1"/>
    <col min="15113" max="15360" width="35.28515625" style="19"/>
    <col min="15361" max="15361" width="31.7109375" style="19" customWidth="1"/>
    <col min="15362" max="15362" width="23.85546875" style="19" bestFit="1" customWidth="1"/>
    <col min="15363" max="15363" width="10.140625" style="19" bestFit="1" customWidth="1"/>
    <col min="15364" max="15364" width="37.7109375" style="19" bestFit="1" customWidth="1"/>
    <col min="15365" max="15365" width="4.140625" style="19" bestFit="1" customWidth="1"/>
    <col min="15366" max="15366" width="5.5703125" style="19" bestFit="1" customWidth="1"/>
    <col min="15367" max="15367" width="7.85546875" style="19" bestFit="1" customWidth="1"/>
    <col min="15368" max="15368" width="6.28515625" style="19" bestFit="1" customWidth="1"/>
    <col min="15369" max="15616" width="35.28515625" style="19"/>
    <col min="15617" max="15617" width="31.7109375" style="19" customWidth="1"/>
    <col min="15618" max="15618" width="23.85546875" style="19" bestFit="1" customWidth="1"/>
    <col min="15619" max="15619" width="10.140625" style="19" bestFit="1" customWidth="1"/>
    <col min="15620" max="15620" width="37.7109375" style="19" bestFit="1" customWidth="1"/>
    <col min="15621" max="15621" width="4.140625" style="19" bestFit="1" customWidth="1"/>
    <col min="15622" max="15622" width="5.5703125" style="19" bestFit="1" customWidth="1"/>
    <col min="15623" max="15623" width="7.85546875" style="19" bestFit="1" customWidth="1"/>
    <col min="15624" max="15624" width="6.28515625" style="19" bestFit="1" customWidth="1"/>
    <col min="15625" max="15872" width="35.28515625" style="19"/>
    <col min="15873" max="15873" width="31.7109375" style="19" customWidth="1"/>
    <col min="15874" max="15874" width="23.85546875" style="19" bestFit="1" customWidth="1"/>
    <col min="15875" max="15875" width="10.140625" style="19" bestFit="1" customWidth="1"/>
    <col min="15876" max="15876" width="37.7109375" style="19" bestFit="1" customWidth="1"/>
    <col min="15877" max="15877" width="4.140625" style="19" bestFit="1" customWidth="1"/>
    <col min="15878" max="15878" width="5.5703125" style="19" bestFit="1" customWidth="1"/>
    <col min="15879" max="15879" width="7.85546875" style="19" bestFit="1" customWidth="1"/>
    <col min="15880" max="15880" width="6.28515625" style="19" bestFit="1" customWidth="1"/>
    <col min="15881" max="16128" width="35.28515625" style="19"/>
    <col min="16129" max="16129" width="31.7109375" style="19" customWidth="1"/>
    <col min="16130" max="16130" width="23.85546875" style="19" bestFit="1" customWidth="1"/>
    <col min="16131" max="16131" width="10.140625" style="19" bestFit="1" customWidth="1"/>
    <col min="16132" max="16132" width="37.7109375" style="19" bestFit="1" customWidth="1"/>
    <col min="16133" max="16133" width="4.140625" style="19" bestFit="1" customWidth="1"/>
    <col min="16134" max="16134" width="5.5703125" style="19" bestFit="1" customWidth="1"/>
    <col min="16135" max="16135" width="7.85546875" style="19" bestFit="1" customWidth="1"/>
    <col min="16136" max="16136" width="6.28515625" style="19" bestFit="1" customWidth="1"/>
    <col min="16137" max="16384" width="35.28515625" style="19"/>
  </cols>
  <sheetData>
    <row r="2" spans="1:8" ht="15.75" x14ac:dyDescent="0.2">
      <c r="A2" s="53" t="s">
        <v>9</v>
      </c>
      <c r="B2" s="53"/>
      <c r="C2" s="53"/>
      <c r="D2" s="53"/>
      <c r="E2" s="53"/>
      <c r="F2" s="53"/>
      <c r="G2" s="53"/>
      <c r="H2" s="53"/>
    </row>
    <row r="4" spans="1:8" ht="12.75" x14ac:dyDescent="0.2">
      <c r="A4" s="54" t="s">
        <v>10</v>
      </c>
      <c r="B4" s="55"/>
      <c r="C4" s="55"/>
      <c r="D4" s="55"/>
      <c r="E4" s="55"/>
      <c r="F4" s="55"/>
      <c r="G4" s="55"/>
      <c r="H4" s="55"/>
    </row>
    <row r="7" spans="1:8" x14ac:dyDescent="0.2">
      <c r="A7" s="23" t="s">
        <v>11</v>
      </c>
      <c r="B7" s="24" t="s">
        <v>12</v>
      </c>
      <c r="C7" s="23" t="s">
        <v>13</v>
      </c>
      <c r="D7" s="24" t="s">
        <v>14</v>
      </c>
      <c r="E7" s="23" t="s">
        <v>15</v>
      </c>
      <c r="F7" s="23" t="s">
        <v>16</v>
      </c>
      <c r="G7" s="23" t="s">
        <v>17</v>
      </c>
      <c r="H7" s="23" t="s">
        <v>18</v>
      </c>
    </row>
    <row r="8" spans="1:8" x14ac:dyDescent="0.2">
      <c r="A8" s="56" t="s">
        <v>175</v>
      </c>
      <c r="B8" s="56"/>
      <c r="C8" s="56"/>
      <c r="D8" s="56"/>
      <c r="E8" s="56"/>
      <c r="F8" s="56"/>
      <c r="G8" s="56"/>
      <c r="H8" s="56"/>
    </row>
    <row r="9" spans="1:8" x14ac:dyDescent="0.2">
      <c r="A9" s="25" t="s">
        <v>37</v>
      </c>
      <c r="B9" s="26" t="s">
        <v>19</v>
      </c>
      <c r="C9" s="27" t="s">
        <v>176</v>
      </c>
      <c r="D9" s="26" t="s">
        <v>20</v>
      </c>
      <c r="E9" s="27" t="s">
        <v>21</v>
      </c>
      <c r="F9" s="28">
        <v>1</v>
      </c>
      <c r="G9" s="28">
        <v>7</v>
      </c>
      <c r="H9" s="28">
        <f t="shared" ref="H9:H39" si="0">F9+G9-1</f>
        <v>7</v>
      </c>
    </row>
    <row r="10" spans="1:8" x14ac:dyDescent="0.2">
      <c r="A10" s="25" t="s">
        <v>38</v>
      </c>
      <c r="B10" s="26" t="s">
        <v>22</v>
      </c>
      <c r="C10" s="27" t="s">
        <v>176</v>
      </c>
      <c r="D10" s="26" t="s">
        <v>177</v>
      </c>
      <c r="E10" s="27" t="s">
        <v>21</v>
      </c>
      <c r="F10" s="28">
        <f t="shared" ref="F10:F73" si="1">F9+G9</f>
        <v>8</v>
      </c>
      <c r="G10" s="28">
        <v>4</v>
      </c>
      <c r="H10" s="28">
        <f t="shared" si="0"/>
        <v>11</v>
      </c>
    </row>
    <row r="11" spans="1:8" x14ac:dyDescent="0.2">
      <c r="A11" s="25" t="s">
        <v>7</v>
      </c>
      <c r="B11" s="26" t="s">
        <v>23</v>
      </c>
      <c r="C11" s="27" t="s">
        <v>176</v>
      </c>
      <c r="D11" s="26" t="s">
        <v>24</v>
      </c>
      <c r="E11" s="27" t="s">
        <v>21</v>
      </c>
      <c r="F11" s="28">
        <f t="shared" si="1"/>
        <v>12</v>
      </c>
      <c r="G11" s="28">
        <v>2</v>
      </c>
      <c r="H11" s="28">
        <f t="shared" si="0"/>
        <v>13</v>
      </c>
    </row>
    <row r="12" spans="1:8" x14ac:dyDescent="0.2">
      <c r="A12" s="25" t="s">
        <v>39</v>
      </c>
      <c r="B12" s="26" t="s">
        <v>25</v>
      </c>
      <c r="C12" s="27" t="s">
        <v>176</v>
      </c>
      <c r="D12" s="26" t="s">
        <v>178</v>
      </c>
      <c r="E12" s="27" t="s">
        <v>21</v>
      </c>
      <c r="F12" s="28">
        <f t="shared" si="1"/>
        <v>14</v>
      </c>
      <c r="G12" s="28">
        <v>2</v>
      </c>
      <c r="H12" s="28">
        <f t="shared" si="0"/>
        <v>15</v>
      </c>
    </row>
    <row r="13" spans="1:8" ht="22.5" x14ac:dyDescent="0.2">
      <c r="A13" s="25" t="s">
        <v>8</v>
      </c>
      <c r="B13" s="26" t="s">
        <v>26</v>
      </c>
      <c r="C13" s="27" t="s">
        <v>176</v>
      </c>
      <c r="D13" s="26" t="s">
        <v>27</v>
      </c>
      <c r="E13" s="27" t="s">
        <v>21</v>
      </c>
      <c r="F13" s="28">
        <f t="shared" si="1"/>
        <v>16</v>
      </c>
      <c r="G13" s="28">
        <v>3</v>
      </c>
      <c r="H13" s="28">
        <f t="shared" si="0"/>
        <v>18</v>
      </c>
    </row>
    <row r="14" spans="1:8" ht="67.5" x14ac:dyDescent="0.2">
      <c r="A14" s="25" t="s">
        <v>179</v>
      </c>
      <c r="B14" s="26" t="s">
        <v>180</v>
      </c>
      <c r="C14" s="27" t="s">
        <v>176</v>
      </c>
      <c r="D14" s="26" t="s">
        <v>181</v>
      </c>
      <c r="E14" s="27" t="s">
        <v>21</v>
      </c>
      <c r="F14" s="28">
        <f t="shared" si="1"/>
        <v>19</v>
      </c>
      <c r="G14" s="26">
        <v>1</v>
      </c>
      <c r="H14" s="28">
        <f t="shared" si="0"/>
        <v>19</v>
      </c>
    </row>
    <row r="15" spans="1:8" ht="67.5" x14ac:dyDescent="0.2">
      <c r="A15" s="25" t="s">
        <v>182</v>
      </c>
      <c r="B15" s="26" t="s">
        <v>183</v>
      </c>
      <c r="C15" s="27" t="s">
        <v>176</v>
      </c>
      <c r="D15" s="26" t="s">
        <v>184</v>
      </c>
      <c r="E15" s="27" t="s">
        <v>21</v>
      </c>
      <c r="F15" s="28">
        <f t="shared" si="1"/>
        <v>20</v>
      </c>
      <c r="G15" s="26">
        <v>1</v>
      </c>
      <c r="H15" s="28">
        <f t="shared" si="0"/>
        <v>20</v>
      </c>
    </row>
    <row r="16" spans="1:8" ht="45" x14ac:dyDescent="0.2">
      <c r="A16" s="25" t="s">
        <v>40</v>
      </c>
      <c r="B16" s="26" t="s">
        <v>60</v>
      </c>
      <c r="C16" s="27" t="s">
        <v>176</v>
      </c>
      <c r="D16" s="26" t="s">
        <v>185</v>
      </c>
      <c r="E16" s="27" t="s">
        <v>21</v>
      </c>
      <c r="F16" s="28">
        <f t="shared" si="1"/>
        <v>21</v>
      </c>
      <c r="G16" s="28">
        <v>1</v>
      </c>
      <c r="H16" s="28">
        <f>F16+G16-1</f>
        <v>21</v>
      </c>
    </row>
    <row r="17" spans="1:8" ht="22.5" x14ac:dyDescent="0.2">
      <c r="A17" s="25" t="s">
        <v>41</v>
      </c>
      <c r="B17" s="26" t="s">
        <v>61</v>
      </c>
      <c r="C17" s="27" t="s">
        <v>186</v>
      </c>
      <c r="D17" s="26" t="s">
        <v>62</v>
      </c>
      <c r="E17" s="27" t="s">
        <v>21</v>
      </c>
      <c r="F17" s="28">
        <f t="shared" si="1"/>
        <v>22</v>
      </c>
      <c r="G17" s="28">
        <v>3</v>
      </c>
      <c r="H17" s="28">
        <f t="shared" si="0"/>
        <v>24</v>
      </c>
    </row>
    <row r="18" spans="1:8" x14ac:dyDescent="0.2">
      <c r="A18" s="25" t="s">
        <v>42</v>
      </c>
      <c r="B18" s="26" t="s">
        <v>63</v>
      </c>
      <c r="C18" s="27" t="s">
        <v>186</v>
      </c>
      <c r="D18" s="26" t="s">
        <v>128</v>
      </c>
      <c r="E18" s="27" t="s">
        <v>21</v>
      </c>
      <c r="F18" s="28">
        <f t="shared" si="1"/>
        <v>25</v>
      </c>
      <c r="G18" s="28">
        <v>3</v>
      </c>
      <c r="H18" s="28">
        <f t="shared" si="0"/>
        <v>27</v>
      </c>
    </row>
    <row r="19" spans="1:8" x14ac:dyDescent="0.2">
      <c r="A19" s="25" t="s">
        <v>43</v>
      </c>
      <c r="B19" s="26" t="s">
        <v>64</v>
      </c>
      <c r="C19" s="27" t="s">
        <v>176</v>
      </c>
      <c r="D19" s="26" t="s">
        <v>64</v>
      </c>
      <c r="E19" s="27" t="s">
        <v>21</v>
      </c>
      <c r="F19" s="28">
        <f t="shared" si="1"/>
        <v>28</v>
      </c>
      <c r="G19" s="28">
        <v>8</v>
      </c>
      <c r="H19" s="28">
        <f t="shared" si="0"/>
        <v>35</v>
      </c>
    </row>
    <row r="20" spans="1:8" x14ac:dyDescent="0.2">
      <c r="A20" s="25" t="s">
        <v>44</v>
      </c>
      <c r="B20" s="26" t="s">
        <v>65</v>
      </c>
      <c r="C20" s="27" t="s">
        <v>186</v>
      </c>
      <c r="D20" s="26" t="s">
        <v>66</v>
      </c>
      <c r="E20" s="27" t="s">
        <v>21</v>
      </c>
      <c r="F20" s="28">
        <f t="shared" si="1"/>
        <v>36</v>
      </c>
      <c r="G20" s="28">
        <v>8</v>
      </c>
      <c r="H20" s="28">
        <f t="shared" si="0"/>
        <v>43</v>
      </c>
    </row>
    <row r="21" spans="1:8" x14ac:dyDescent="0.2">
      <c r="A21" s="25" t="s">
        <v>187</v>
      </c>
      <c r="B21" s="26" t="s">
        <v>188</v>
      </c>
      <c r="C21" s="27" t="s">
        <v>186</v>
      </c>
      <c r="D21" s="26" t="s">
        <v>189</v>
      </c>
      <c r="E21" s="27" t="s">
        <v>21</v>
      </c>
      <c r="F21" s="28">
        <f t="shared" si="1"/>
        <v>44</v>
      </c>
      <c r="G21" s="28">
        <v>15</v>
      </c>
      <c r="H21" s="28">
        <f t="shared" si="0"/>
        <v>58</v>
      </c>
    </row>
    <row r="22" spans="1:8" ht="45" x14ac:dyDescent="0.2">
      <c r="A22" s="25" t="s">
        <v>45</v>
      </c>
      <c r="B22" s="26" t="s">
        <v>67</v>
      </c>
      <c r="C22" s="27" t="s">
        <v>176</v>
      </c>
      <c r="D22" s="26" t="s">
        <v>190</v>
      </c>
      <c r="E22" s="27" t="s">
        <v>21</v>
      </c>
      <c r="F22" s="28">
        <f t="shared" si="1"/>
        <v>59</v>
      </c>
      <c r="G22" s="28">
        <v>3</v>
      </c>
      <c r="H22" s="28">
        <f t="shared" si="0"/>
        <v>61</v>
      </c>
    </row>
    <row r="23" spans="1:8" x14ac:dyDescent="0.2">
      <c r="A23" s="25" t="s">
        <v>46</v>
      </c>
      <c r="B23" s="26" t="s">
        <v>68</v>
      </c>
      <c r="C23" s="27" t="s">
        <v>176</v>
      </c>
      <c r="D23" s="26" t="s">
        <v>191</v>
      </c>
      <c r="E23" s="27" t="s">
        <v>21</v>
      </c>
      <c r="F23" s="28">
        <f t="shared" si="1"/>
        <v>62</v>
      </c>
      <c r="G23" s="28">
        <v>1</v>
      </c>
      <c r="H23" s="28">
        <f t="shared" si="0"/>
        <v>62</v>
      </c>
    </row>
    <row r="24" spans="1:8" ht="22.5" x14ac:dyDescent="0.2">
      <c r="A24" s="25" t="s">
        <v>47</v>
      </c>
      <c r="B24" s="26" t="s">
        <v>69</v>
      </c>
      <c r="C24" s="27" t="s">
        <v>176</v>
      </c>
      <c r="D24" s="26" t="s">
        <v>70</v>
      </c>
      <c r="E24" s="27" t="s">
        <v>21</v>
      </c>
      <c r="F24" s="28">
        <f t="shared" si="1"/>
        <v>63</v>
      </c>
      <c r="G24" s="28">
        <v>1</v>
      </c>
      <c r="H24" s="28">
        <f t="shared" si="0"/>
        <v>63</v>
      </c>
    </row>
    <row r="25" spans="1:8" x14ac:dyDescent="0.2">
      <c r="A25" s="31" t="s">
        <v>192</v>
      </c>
      <c r="B25" s="26" t="s">
        <v>193</v>
      </c>
      <c r="C25" s="27" t="s">
        <v>186</v>
      </c>
      <c r="D25" s="26" t="s">
        <v>194</v>
      </c>
      <c r="E25" s="27" t="s">
        <v>21</v>
      </c>
      <c r="F25" s="28">
        <f>F24+G24</f>
        <v>64</v>
      </c>
      <c r="G25" s="28">
        <v>3</v>
      </c>
      <c r="H25" s="28">
        <f t="shared" si="0"/>
        <v>66</v>
      </c>
    </row>
    <row r="26" spans="1:8" x14ac:dyDescent="0.2">
      <c r="A26" s="31" t="s">
        <v>195</v>
      </c>
      <c r="B26" s="26" t="s">
        <v>196</v>
      </c>
      <c r="C26" s="27" t="s">
        <v>186</v>
      </c>
      <c r="D26" s="26" t="s">
        <v>197</v>
      </c>
      <c r="E26" s="27" t="s">
        <v>21</v>
      </c>
      <c r="F26" s="28">
        <f t="shared" si="1"/>
        <v>67</v>
      </c>
      <c r="G26" s="28">
        <v>4</v>
      </c>
      <c r="H26" s="28">
        <f t="shared" si="0"/>
        <v>70</v>
      </c>
    </row>
    <row r="27" spans="1:8" ht="22.5" x14ac:dyDescent="0.2">
      <c r="A27" s="31" t="s">
        <v>198</v>
      </c>
      <c r="B27" s="26" t="s">
        <v>199</v>
      </c>
      <c r="C27" s="27" t="s">
        <v>186</v>
      </c>
      <c r="D27" s="26" t="s">
        <v>62</v>
      </c>
      <c r="E27" s="27" t="s">
        <v>21</v>
      </c>
      <c r="F27" s="28">
        <f t="shared" si="1"/>
        <v>71</v>
      </c>
      <c r="G27" s="28">
        <v>3</v>
      </c>
      <c r="H27" s="28">
        <f t="shared" si="0"/>
        <v>73</v>
      </c>
    </row>
    <row r="28" spans="1:8" x14ac:dyDescent="0.2">
      <c r="A28" s="31" t="s">
        <v>200</v>
      </c>
      <c r="B28" s="26" t="s">
        <v>201</v>
      </c>
      <c r="C28" s="27" t="s">
        <v>186</v>
      </c>
      <c r="D28" s="26" t="s">
        <v>202</v>
      </c>
      <c r="E28" s="27" t="s">
        <v>28</v>
      </c>
      <c r="F28" s="28">
        <f t="shared" si="1"/>
        <v>74</v>
      </c>
      <c r="G28" s="28">
        <v>15</v>
      </c>
      <c r="H28" s="28">
        <f t="shared" si="0"/>
        <v>88</v>
      </c>
    </row>
    <row r="29" spans="1:8" x14ac:dyDescent="0.2">
      <c r="A29" s="31" t="s">
        <v>203</v>
      </c>
      <c r="B29" s="26" t="s">
        <v>204</v>
      </c>
      <c r="C29" s="27" t="s">
        <v>186</v>
      </c>
      <c r="D29" s="26" t="s">
        <v>189</v>
      </c>
      <c r="E29" s="27" t="s">
        <v>21</v>
      </c>
      <c r="F29" s="28">
        <f t="shared" si="1"/>
        <v>89</v>
      </c>
      <c r="G29" s="28">
        <v>15</v>
      </c>
      <c r="H29" s="28">
        <f t="shared" si="0"/>
        <v>103</v>
      </c>
    </row>
    <row r="30" spans="1:8" x14ac:dyDescent="0.2">
      <c r="A30" s="31" t="s">
        <v>205</v>
      </c>
      <c r="B30" s="26" t="s">
        <v>206</v>
      </c>
      <c r="C30" s="27" t="s">
        <v>186</v>
      </c>
      <c r="D30" s="26" t="s">
        <v>194</v>
      </c>
      <c r="E30" s="27" t="s">
        <v>21</v>
      </c>
      <c r="F30" s="28">
        <f t="shared" si="1"/>
        <v>104</v>
      </c>
      <c r="G30" s="28">
        <v>3</v>
      </c>
      <c r="H30" s="28">
        <f>F30+G30-1</f>
        <v>106</v>
      </c>
    </row>
    <row r="31" spans="1:8" x14ac:dyDescent="0.2">
      <c r="A31" s="31" t="s">
        <v>207</v>
      </c>
      <c r="B31" s="26" t="s">
        <v>208</v>
      </c>
      <c r="C31" s="27" t="s">
        <v>186</v>
      </c>
      <c r="D31" s="26" t="s">
        <v>209</v>
      </c>
      <c r="E31" s="27" t="s">
        <v>21</v>
      </c>
      <c r="F31" s="28">
        <f t="shared" si="1"/>
        <v>107</v>
      </c>
      <c r="G31" s="28">
        <v>15</v>
      </c>
      <c r="H31" s="28">
        <f>F31+G31-1</f>
        <v>121</v>
      </c>
    </row>
    <row r="32" spans="1:8" x14ac:dyDescent="0.2">
      <c r="A32" s="31" t="s">
        <v>210</v>
      </c>
      <c r="B32" s="26" t="s">
        <v>211</v>
      </c>
      <c r="C32" s="27" t="s">
        <v>186</v>
      </c>
      <c r="D32" s="26" t="s">
        <v>211</v>
      </c>
      <c r="E32" s="27" t="s">
        <v>28</v>
      </c>
      <c r="F32" s="28">
        <f t="shared" si="1"/>
        <v>122</v>
      </c>
      <c r="G32" s="28">
        <v>10</v>
      </c>
      <c r="H32" s="28">
        <f>F32+G32-1</f>
        <v>131</v>
      </c>
    </row>
    <row r="33" spans="1:8" x14ac:dyDescent="0.2">
      <c r="A33" s="31" t="s">
        <v>212</v>
      </c>
      <c r="B33" s="26" t="s">
        <v>213</v>
      </c>
      <c r="C33" s="27" t="s">
        <v>186</v>
      </c>
      <c r="D33" s="26" t="s">
        <v>213</v>
      </c>
      <c r="E33" s="27" t="s">
        <v>28</v>
      </c>
      <c r="F33" s="28">
        <f t="shared" si="1"/>
        <v>132</v>
      </c>
      <c r="G33" s="28">
        <v>12</v>
      </c>
      <c r="H33" s="28">
        <f>F33+G33-1</f>
        <v>143</v>
      </c>
    </row>
    <row r="34" spans="1:8" x14ac:dyDescent="0.2">
      <c r="A34" s="31" t="s">
        <v>214</v>
      </c>
      <c r="B34" s="26" t="s">
        <v>215</v>
      </c>
      <c r="C34" s="27" t="s">
        <v>186</v>
      </c>
      <c r="D34" s="42" t="s">
        <v>216</v>
      </c>
      <c r="E34" s="27" t="s">
        <v>29</v>
      </c>
      <c r="F34" s="28">
        <f t="shared" si="1"/>
        <v>144</v>
      </c>
      <c r="G34" s="28">
        <v>10</v>
      </c>
      <c r="H34" s="28">
        <f>F34+G34-1</f>
        <v>153</v>
      </c>
    </row>
    <row r="35" spans="1:8" x14ac:dyDescent="0.2">
      <c r="A35" s="31" t="s">
        <v>217</v>
      </c>
      <c r="B35" s="26" t="s">
        <v>95</v>
      </c>
      <c r="C35" s="27" t="s">
        <v>186</v>
      </c>
      <c r="D35" s="26" t="s">
        <v>218</v>
      </c>
      <c r="E35" s="27" t="s">
        <v>21</v>
      </c>
      <c r="F35" s="28">
        <f t="shared" si="1"/>
        <v>154</v>
      </c>
      <c r="G35" s="28">
        <v>3</v>
      </c>
      <c r="H35" s="28">
        <f t="shared" si="0"/>
        <v>156</v>
      </c>
    </row>
    <row r="36" spans="1:8" ht="22.5" x14ac:dyDescent="0.2">
      <c r="A36" s="31" t="s">
        <v>219</v>
      </c>
      <c r="B36" s="26" t="s">
        <v>220</v>
      </c>
      <c r="C36" s="27" t="s">
        <v>186</v>
      </c>
      <c r="D36" s="30" t="s">
        <v>221</v>
      </c>
      <c r="E36" s="27" t="s">
        <v>21</v>
      </c>
      <c r="F36" s="28">
        <f t="shared" si="1"/>
        <v>157</v>
      </c>
      <c r="G36" s="28">
        <v>3</v>
      </c>
      <c r="H36" s="28">
        <f t="shared" si="0"/>
        <v>159</v>
      </c>
    </row>
    <row r="37" spans="1:8" ht="22.5" x14ac:dyDescent="0.2">
      <c r="A37" s="31" t="s">
        <v>222</v>
      </c>
      <c r="B37" s="26" t="s">
        <v>223</v>
      </c>
      <c r="C37" s="27" t="s">
        <v>186</v>
      </c>
      <c r="D37" s="30" t="s">
        <v>224</v>
      </c>
      <c r="E37" s="27" t="s">
        <v>21</v>
      </c>
      <c r="F37" s="28">
        <f t="shared" si="1"/>
        <v>160</v>
      </c>
      <c r="G37" s="28">
        <v>3</v>
      </c>
      <c r="H37" s="28">
        <f t="shared" si="0"/>
        <v>162</v>
      </c>
    </row>
    <row r="38" spans="1:8" ht="56.25" x14ac:dyDescent="0.2">
      <c r="A38" s="31" t="s">
        <v>225</v>
      </c>
      <c r="B38" s="26" t="s">
        <v>226</v>
      </c>
      <c r="C38" s="27" t="s">
        <v>176</v>
      </c>
      <c r="D38" s="26" t="s">
        <v>227</v>
      </c>
      <c r="E38" s="27" t="s">
        <v>21</v>
      </c>
      <c r="F38" s="28">
        <f t="shared" si="1"/>
        <v>163</v>
      </c>
      <c r="G38" s="28">
        <v>13</v>
      </c>
      <c r="H38" s="28">
        <f t="shared" si="0"/>
        <v>175</v>
      </c>
    </row>
    <row r="39" spans="1:8" ht="22.5" x14ac:dyDescent="0.2">
      <c r="A39" s="31" t="s">
        <v>228</v>
      </c>
      <c r="B39" s="26" t="s">
        <v>229</v>
      </c>
      <c r="C39" s="27" t="s">
        <v>186</v>
      </c>
      <c r="D39" s="30" t="s">
        <v>230</v>
      </c>
      <c r="E39" s="27" t="s">
        <v>21</v>
      </c>
      <c r="F39" s="28">
        <f t="shared" si="1"/>
        <v>176</v>
      </c>
      <c r="G39" s="28">
        <v>3</v>
      </c>
      <c r="H39" s="28">
        <f t="shared" si="0"/>
        <v>178</v>
      </c>
    </row>
    <row r="40" spans="1:8" ht="56.25" x14ac:dyDescent="0.2">
      <c r="A40" s="31" t="s">
        <v>231</v>
      </c>
      <c r="B40" s="26" t="s">
        <v>232</v>
      </c>
      <c r="C40" s="27" t="s">
        <v>176</v>
      </c>
      <c r="D40" s="26" t="s">
        <v>233</v>
      </c>
      <c r="E40" s="27" t="s">
        <v>21</v>
      </c>
      <c r="F40" s="28">
        <f t="shared" si="1"/>
        <v>179</v>
      </c>
      <c r="G40" s="28">
        <v>13</v>
      </c>
      <c r="H40" s="28">
        <f>F40+G40-1</f>
        <v>191</v>
      </c>
    </row>
    <row r="41" spans="1:8" x14ac:dyDescent="0.2">
      <c r="A41" s="43" t="s">
        <v>234</v>
      </c>
      <c r="B41" s="26" t="s">
        <v>235</v>
      </c>
      <c r="C41" s="27" t="s">
        <v>186</v>
      </c>
      <c r="D41" s="26" t="s">
        <v>236</v>
      </c>
      <c r="E41" s="27" t="s">
        <v>21</v>
      </c>
      <c r="F41" s="28">
        <f t="shared" si="1"/>
        <v>192</v>
      </c>
      <c r="G41" s="28">
        <v>2000</v>
      </c>
      <c r="H41" s="28">
        <f>F41+G41-1</f>
        <v>2191</v>
      </c>
    </row>
    <row r="42" spans="1:8" x14ac:dyDescent="0.2">
      <c r="A42" s="31" t="s">
        <v>237</v>
      </c>
      <c r="B42" s="26" t="s">
        <v>238</v>
      </c>
      <c r="C42" s="27" t="s">
        <v>186</v>
      </c>
      <c r="D42" s="26" t="s">
        <v>239</v>
      </c>
      <c r="E42" s="27" t="s">
        <v>21</v>
      </c>
      <c r="F42" s="28">
        <f t="shared" si="1"/>
        <v>2192</v>
      </c>
      <c r="G42" s="28">
        <v>3</v>
      </c>
      <c r="H42" s="28">
        <f>F42+G42-1</f>
        <v>2194</v>
      </c>
    </row>
    <row r="43" spans="1:8" ht="45" x14ac:dyDescent="0.2">
      <c r="A43" s="25" t="s">
        <v>240</v>
      </c>
      <c r="B43" s="26" t="s">
        <v>241</v>
      </c>
      <c r="C43" s="27" t="s">
        <v>176</v>
      </c>
      <c r="D43" s="26" t="s">
        <v>242</v>
      </c>
      <c r="E43" s="27" t="s">
        <v>28</v>
      </c>
      <c r="F43" s="28">
        <f t="shared" si="1"/>
        <v>2195</v>
      </c>
      <c r="G43" s="26">
        <v>1</v>
      </c>
      <c r="H43" s="28">
        <f t="shared" ref="H43:H67" si="2">F43+G43-1</f>
        <v>2195</v>
      </c>
    </row>
    <row r="44" spans="1:8" ht="22.5" x14ac:dyDescent="0.2">
      <c r="A44" s="25" t="s">
        <v>243</v>
      </c>
      <c r="B44" s="26" t="s">
        <v>244</v>
      </c>
      <c r="C44" s="27" t="s">
        <v>186</v>
      </c>
      <c r="D44" s="26" t="s">
        <v>245</v>
      </c>
      <c r="E44" s="27" t="s">
        <v>29</v>
      </c>
      <c r="F44" s="28">
        <f t="shared" si="1"/>
        <v>2196</v>
      </c>
      <c r="G44" s="26">
        <v>50</v>
      </c>
      <c r="H44" s="28">
        <f t="shared" si="2"/>
        <v>2245</v>
      </c>
    </row>
    <row r="45" spans="1:8" ht="22.5" x14ac:dyDescent="0.2">
      <c r="A45" s="25" t="s">
        <v>246</v>
      </c>
      <c r="B45" s="26" t="s">
        <v>247</v>
      </c>
      <c r="C45" s="27" t="s">
        <v>186</v>
      </c>
      <c r="D45" s="26" t="s">
        <v>248</v>
      </c>
      <c r="E45" s="27" t="s">
        <v>29</v>
      </c>
      <c r="F45" s="28">
        <f t="shared" si="1"/>
        <v>2246</v>
      </c>
      <c r="G45" s="26">
        <v>40</v>
      </c>
      <c r="H45" s="28">
        <f t="shared" si="2"/>
        <v>2285</v>
      </c>
    </row>
    <row r="46" spans="1:8" x14ac:dyDescent="0.2">
      <c r="A46" s="25" t="s">
        <v>249</v>
      </c>
      <c r="B46" s="26" t="s">
        <v>250</v>
      </c>
      <c r="C46" s="27" t="s">
        <v>186</v>
      </c>
      <c r="D46" s="26" t="s">
        <v>251</v>
      </c>
      <c r="E46" s="27" t="s">
        <v>28</v>
      </c>
      <c r="F46" s="28">
        <f t="shared" si="1"/>
        <v>2286</v>
      </c>
      <c r="G46" s="26">
        <v>40</v>
      </c>
      <c r="H46" s="28">
        <f t="shared" si="2"/>
        <v>2325</v>
      </c>
    </row>
    <row r="47" spans="1:8" x14ac:dyDescent="0.2">
      <c r="A47" s="25" t="s">
        <v>252</v>
      </c>
      <c r="B47" s="26" t="s">
        <v>253</v>
      </c>
      <c r="C47" s="27" t="s">
        <v>186</v>
      </c>
      <c r="D47" s="26" t="s">
        <v>254</v>
      </c>
      <c r="E47" s="27" t="s">
        <v>28</v>
      </c>
      <c r="F47" s="28">
        <f t="shared" si="1"/>
        <v>2326</v>
      </c>
      <c r="G47" s="26">
        <v>40</v>
      </c>
      <c r="H47" s="28">
        <f t="shared" si="2"/>
        <v>2365</v>
      </c>
    </row>
    <row r="48" spans="1:8" x14ac:dyDescent="0.2">
      <c r="A48" s="25" t="s">
        <v>255</v>
      </c>
      <c r="B48" s="26" t="s">
        <v>256</v>
      </c>
      <c r="C48" s="27" t="s">
        <v>186</v>
      </c>
      <c r="D48" s="26" t="s">
        <v>257</v>
      </c>
      <c r="E48" s="27" t="s">
        <v>28</v>
      </c>
      <c r="F48" s="28">
        <f t="shared" si="1"/>
        <v>2366</v>
      </c>
      <c r="G48" s="26">
        <v>3</v>
      </c>
      <c r="H48" s="28">
        <f t="shared" si="2"/>
        <v>2368</v>
      </c>
    </row>
    <row r="49" spans="1:8" ht="33.75" x14ac:dyDescent="0.2">
      <c r="A49" s="25" t="s">
        <v>258</v>
      </c>
      <c r="B49" s="26" t="s">
        <v>259</v>
      </c>
      <c r="C49" s="27" t="s">
        <v>186</v>
      </c>
      <c r="D49" s="26" t="s">
        <v>260</v>
      </c>
      <c r="E49" s="27" t="s">
        <v>29</v>
      </c>
      <c r="F49" s="28">
        <f t="shared" si="1"/>
        <v>2369</v>
      </c>
      <c r="G49" s="26">
        <v>2</v>
      </c>
      <c r="H49" s="28">
        <f t="shared" si="2"/>
        <v>2370</v>
      </c>
    </row>
    <row r="50" spans="1:8" ht="33.75" x14ac:dyDescent="0.2">
      <c r="A50" s="25" t="s">
        <v>261</v>
      </c>
      <c r="B50" s="26" t="s">
        <v>262</v>
      </c>
      <c r="C50" s="27" t="s">
        <v>186</v>
      </c>
      <c r="D50" s="26" t="s">
        <v>263</v>
      </c>
      <c r="E50" s="27" t="s">
        <v>29</v>
      </c>
      <c r="F50" s="28">
        <f t="shared" si="1"/>
        <v>2371</v>
      </c>
      <c r="G50" s="26">
        <v>3</v>
      </c>
      <c r="H50" s="28">
        <f t="shared" si="2"/>
        <v>2373</v>
      </c>
    </row>
    <row r="51" spans="1:8" x14ac:dyDescent="0.2">
      <c r="A51" s="25" t="s">
        <v>264</v>
      </c>
      <c r="B51" s="26" t="s">
        <v>265</v>
      </c>
      <c r="C51" s="27" t="s">
        <v>186</v>
      </c>
      <c r="D51" s="26" t="s">
        <v>266</v>
      </c>
      <c r="E51" s="27" t="s">
        <v>28</v>
      </c>
      <c r="F51" s="28">
        <f t="shared" si="1"/>
        <v>2374</v>
      </c>
      <c r="G51" s="26">
        <v>40</v>
      </c>
      <c r="H51" s="28">
        <f t="shared" si="2"/>
        <v>2413</v>
      </c>
    </row>
    <row r="52" spans="1:8" x14ac:dyDescent="0.2">
      <c r="A52" s="25" t="s">
        <v>267</v>
      </c>
      <c r="B52" s="26" t="s">
        <v>268</v>
      </c>
      <c r="C52" s="27" t="s">
        <v>186</v>
      </c>
      <c r="D52" s="26" t="s">
        <v>269</v>
      </c>
      <c r="E52" s="27" t="s">
        <v>28</v>
      </c>
      <c r="F52" s="28">
        <f t="shared" si="1"/>
        <v>2414</v>
      </c>
      <c r="G52" s="26">
        <v>20</v>
      </c>
      <c r="H52" s="28">
        <f t="shared" si="2"/>
        <v>2433</v>
      </c>
    </row>
    <row r="53" spans="1:8" x14ac:dyDescent="0.2">
      <c r="A53" s="25" t="s">
        <v>270</v>
      </c>
      <c r="B53" s="26" t="s">
        <v>271</v>
      </c>
      <c r="C53" s="27" t="s">
        <v>186</v>
      </c>
      <c r="D53" s="26" t="s">
        <v>271</v>
      </c>
      <c r="E53" s="27" t="s">
        <v>28</v>
      </c>
      <c r="F53" s="28">
        <f t="shared" si="1"/>
        <v>2434</v>
      </c>
      <c r="G53" s="26">
        <v>20</v>
      </c>
      <c r="H53" s="28">
        <f t="shared" si="2"/>
        <v>2453</v>
      </c>
    </row>
    <row r="54" spans="1:8" x14ac:dyDescent="0.2">
      <c r="A54" s="25" t="s">
        <v>272</v>
      </c>
      <c r="B54" s="26" t="s">
        <v>273</v>
      </c>
      <c r="C54" s="27" t="s">
        <v>186</v>
      </c>
      <c r="D54" s="26" t="s">
        <v>274</v>
      </c>
      <c r="E54" s="27" t="s">
        <v>28</v>
      </c>
      <c r="F54" s="28">
        <f t="shared" si="1"/>
        <v>2454</v>
      </c>
      <c r="G54" s="26">
        <v>10</v>
      </c>
      <c r="H54" s="28">
        <f t="shared" si="2"/>
        <v>2463</v>
      </c>
    </row>
    <row r="55" spans="1:8" x14ac:dyDescent="0.2">
      <c r="A55" s="25" t="s">
        <v>275</v>
      </c>
      <c r="B55" s="26" t="s">
        <v>276</v>
      </c>
      <c r="C55" s="27" t="s">
        <v>186</v>
      </c>
      <c r="D55" s="26" t="s">
        <v>277</v>
      </c>
      <c r="E55" s="27" t="s">
        <v>28</v>
      </c>
      <c r="F55" s="28">
        <f t="shared" si="1"/>
        <v>2464</v>
      </c>
      <c r="G55" s="26">
        <v>50</v>
      </c>
      <c r="H55" s="28">
        <f t="shared" si="2"/>
        <v>2513</v>
      </c>
    </row>
    <row r="56" spans="1:8" ht="22.5" x14ac:dyDescent="0.2">
      <c r="A56" s="31" t="s">
        <v>48</v>
      </c>
      <c r="B56" s="26" t="s">
        <v>71</v>
      </c>
      <c r="C56" s="27" t="s">
        <v>186</v>
      </c>
      <c r="D56" s="30" t="s">
        <v>72</v>
      </c>
      <c r="E56" s="27" t="s">
        <v>29</v>
      </c>
      <c r="F56" s="28">
        <f t="shared" si="1"/>
        <v>2514</v>
      </c>
      <c r="G56" s="26">
        <v>10</v>
      </c>
      <c r="H56" s="28">
        <f t="shared" si="2"/>
        <v>2523</v>
      </c>
    </row>
    <row r="57" spans="1:8" ht="22.5" x14ac:dyDescent="0.2">
      <c r="A57" s="31" t="s">
        <v>49</v>
      </c>
      <c r="B57" s="26" t="s">
        <v>73</v>
      </c>
      <c r="C57" s="27" t="s">
        <v>186</v>
      </c>
      <c r="D57" s="30" t="s">
        <v>74</v>
      </c>
      <c r="E57" s="27" t="s">
        <v>29</v>
      </c>
      <c r="F57" s="28">
        <f t="shared" si="1"/>
        <v>2524</v>
      </c>
      <c r="G57" s="19">
        <v>15</v>
      </c>
      <c r="H57" s="28">
        <f t="shared" si="2"/>
        <v>2538</v>
      </c>
    </row>
    <row r="58" spans="1:8" ht="22.5" x14ac:dyDescent="0.2">
      <c r="A58" s="31" t="s">
        <v>50</v>
      </c>
      <c r="B58" s="26" t="s">
        <v>75</v>
      </c>
      <c r="C58" s="27" t="s">
        <v>186</v>
      </c>
      <c r="D58" s="30" t="s">
        <v>76</v>
      </c>
      <c r="E58" s="27" t="s">
        <v>29</v>
      </c>
      <c r="F58" s="28">
        <f t="shared" si="1"/>
        <v>2539</v>
      </c>
      <c r="G58" s="26">
        <v>3</v>
      </c>
      <c r="H58" s="28">
        <f t="shared" si="2"/>
        <v>2541</v>
      </c>
    </row>
    <row r="59" spans="1:8" ht="22.5" x14ac:dyDescent="0.2">
      <c r="A59" s="31" t="s">
        <v>51</v>
      </c>
      <c r="B59" s="26" t="s">
        <v>77</v>
      </c>
      <c r="C59" s="27" t="s">
        <v>186</v>
      </c>
      <c r="D59" s="30" t="s">
        <v>78</v>
      </c>
      <c r="E59" s="27" t="s">
        <v>29</v>
      </c>
      <c r="F59" s="28">
        <f t="shared" si="1"/>
        <v>2542</v>
      </c>
      <c r="G59" s="26">
        <v>15</v>
      </c>
      <c r="H59" s="28">
        <f t="shared" si="2"/>
        <v>2556</v>
      </c>
    </row>
    <row r="60" spans="1:8" ht="22.5" x14ac:dyDescent="0.2">
      <c r="A60" s="31" t="s">
        <v>52</v>
      </c>
      <c r="B60" s="26" t="s">
        <v>79</v>
      </c>
      <c r="C60" s="27" t="s">
        <v>186</v>
      </c>
      <c r="D60" s="30" t="s">
        <v>80</v>
      </c>
      <c r="E60" s="27" t="s">
        <v>29</v>
      </c>
      <c r="F60" s="28">
        <f t="shared" si="1"/>
        <v>2557</v>
      </c>
      <c r="G60" s="26">
        <v>50</v>
      </c>
      <c r="H60" s="28">
        <f t="shared" si="2"/>
        <v>2606</v>
      </c>
    </row>
    <row r="61" spans="1:8" ht="22.5" x14ac:dyDescent="0.2">
      <c r="A61" s="31" t="s">
        <v>53</v>
      </c>
      <c r="B61" s="26" t="s">
        <v>81</v>
      </c>
      <c r="C61" s="27" t="s">
        <v>186</v>
      </c>
      <c r="D61" s="30" t="s">
        <v>82</v>
      </c>
      <c r="E61" s="27" t="s">
        <v>29</v>
      </c>
      <c r="F61" s="28">
        <f t="shared" si="1"/>
        <v>2607</v>
      </c>
      <c r="G61" s="26">
        <v>15</v>
      </c>
      <c r="H61" s="28">
        <f t="shared" si="2"/>
        <v>2621</v>
      </c>
    </row>
    <row r="62" spans="1:8" ht="22.5" x14ac:dyDescent="0.2">
      <c r="A62" s="31" t="s">
        <v>54</v>
      </c>
      <c r="B62" s="26" t="s">
        <v>83</v>
      </c>
      <c r="C62" s="27" t="s">
        <v>186</v>
      </c>
      <c r="D62" s="30" t="s">
        <v>84</v>
      </c>
      <c r="E62" s="27" t="s">
        <v>29</v>
      </c>
      <c r="F62" s="28">
        <f t="shared" si="1"/>
        <v>2622</v>
      </c>
      <c r="G62" s="26">
        <v>30</v>
      </c>
      <c r="H62" s="28">
        <f t="shared" si="2"/>
        <v>2651</v>
      </c>
    </row>
    <row r="63" spans="1:8" ht="33.75" x14ac:dyDescent="0.2">
      <c r="A63" s="31" t="s">
        <v>55</v>
      </c>
      <c r="B63" s="26" t="s">
        <v>85</v>
      </c>
      <c r="C63" s="27" t="s">
        <v>176</v>
      </c>
      <c r="D63" s="30" t="s">
        <v>86</v>
      </c>
      <c r="E63" s="27" t="s">
        <v>28</v>
      </c>
      <c r="F63" s="28">
        <f t="shared" si="1"/>
        <v>2652</v>
      </c>
      <c r="G63" s="26">
        <v>15</v>
      </c>
      <c r="H63" s="28">
        <f t="shared" si="2"/>
        <v>2666</v>
      </c>
    </row>
    <row r="64" spans="1:8" ht="56.25" x14ac:dyDescent="0.2">
      <c r="A64" s="31" t="s">
        <v>56</v>
      </c>
      <c r="B64" s="26" t="s">
        <v>87</v>
      </c>
      <c r="C64" s="27" t="s">
        <v>176</v>
      </c>
      <c r="D64" s="30" t="s">
        <v>88</v>
      </c>
      <c r="E64" s="27" t="s">
        <v>28</v>
      </c>
      <c r="F64" s="28">
        <f t="shared" si="1"/>
        <v>2667</v>
      </c>
      <c r="G64" s="26">
        <v>20</v>
      </c>
      <c r="H64" s="28">
        <f t="shared" si="2"/>
        <v>2686</v>
      </c>
    </row>
    <row r="65" spans="1:8" ht="56.25" x14ac:dyDescent="0.2">
      <c r="A65" s="31" t="s">
        <v>57</v>
      </c>
      <c r="B65" s="26" t="s">
        <v>89</v>
      </c>
      <c r="C65" s="27" t="s">
        <v>176</v>
      </c>
      <c r="D65" s="30" t="s">
        <v>90</v>
      </c>
      <c r="E65" s="27" t="s">
        <v>28</v>
      </c>
      <c r="F65" s="28">
        <f t="shared" si="1"/>
        <v>2687</v>
      </c>
      <c r="G65" s="26">
        <v>20</v>
      </c>
      <c r="H65" s="28">
        <f t="shared" si="2"/>
        <v>2706</v>
      </c>
    </row>
    <row r="66" spans="1:8" ht="56.25" x14ac:dyDescent="0.2">
      <c r="A66" s="31" t="s">
        <v>58</v>
      </c>
      <c r="B66" s="26" t="s">
        <v>91</v>
      </c>
      <c r="C66" s="27" t="s">
        <v>176</v>
      </c>
      <c r="D66" s="30" t="s">
        <v>92</v>
      </c>
      <c r="E66" s="27" t="s">
        <v>28</v>
      </c>
      <c r="F66" s="28">
        <f t="shared" si="1"/>
        <v>2707</v>
      </c>
      <c r="G66" s="26">
        <v>20</v>
      </c>
      <c r="H66" s="28">
        <f t="shared" si="2"/>
        <v>2726</v>
      </c>
    </row>
    <row r="67" spans="1:8" x14ac:dyDescent="0.2">
      <c r="A67" s="31" t="s">
        <v>59</v>
      </c>
      <c r="B67" s="26" t="s">
        <v>93</v>
      </c>
      <c r="C67" s="27" t="s">
        <v>186</v>
      </c>
      <c r="D67" s="30" t="s">
        <v>94</v>
      </c>
      <c r="E67" s="27" t="s">
        <v>28</v>
      </c>
      <c r="F67" s="28">
        <f t="shared" si="1"/>
        <v>2727</v>
      </c>
      <c r="G67" s="26">
        <v>255</v>
      </c>
      <c r="H67" s="28">
        <f t="shared" si="2"/>
        <v>2981</v>
      </c>
    </row>
    <row r="68" spans="1:8" x14ac:dyDescent="0.2">
      <c r="A68" s="31" t="s">
        <v>278</v>
      </c>
      <c r="B68" s="26" t="s">
        <v>279</v>
      </c>
      <c r="C68" s="27" t="s">
        <v>186</v>
      </c>
      <c r="D68" s="26" t="s">
        <v>280</v>
      </c>
      <c r="E68" s="27" t="s">
        <v>29</v>
      </c>
      <c r="F68" s="28">
        <f t="shared" si="1"/>
        <v>2982</v>
      </c>
      <c r="G68" s="26">
        <v>3</v>
      </c>
      <c r="H68" s="28">
        <f>F68+G68-1</f>
        <v>2984</v>
      </c>
    </row>
    <row r="69" spans="1:8" ht="33.75" x14ac:dyDescent="0.2">
      <c r="A69" s="31" t="s">
        <v>281</v>
      </c>
      <c r="B69" s="26" t="s">
        <v>282</v>
      </c>
      <c r="C69" s="27" t="s">
        <v>176</v>
      </c>
      <c r="D69" s="26" t="s">
        <v>283</v>
      </c>
      <c r="E69" s="27" t="s">
        <v>21</v>
      </c>
      <c r="F69" s="28">
        <f t="shared" si="1"/>
        <v>2985</v>
      </c>
      <c r="G69" s="26">
        <v>1</v>
      </c>
      <c r="H69" s="28">
        <f t="shared" ref="H69:H76" si="3">F69+G69-1</f>
        <v>2985</v>
      </c>
    </row>
    <row r="70" spans="1:8" ht="33.75" x14ac:dyDescent="0.2">
      <c r="A70" s="25" t="s">
        <v>284</v>
      </c>
      <c r="B70" s="26" t="s">
        <v>285</v>
      </c>
      <c r="C70" s="27" t="s">
        <v>186</v>
      </c>
      <c r="D70" s="26" t="s">
        <v>286</v>
      </c>
      <c r="E70" s="27" t="s">
        <v>29</v>
      </c>
      <c r="F70" s="28">
        <f t="shared" si="1"/>
        <v>2986</v>
      </c>
      <c r="G70" s="26">
        <v>3</v>
      </c>
      <c r="H70" s="28">
        <f t="shared" si="3"/>
        <v>2988</v>
      </c>
    </row>
    <row r="71" spans="1:8" ht="22.5" x14ac:dyDescent="0.2">
      <c r="A71" s="31" t="s">
        <v>287</v>
      </c>
      <c r="B71" s="26" t="s">
        <v>288</v>
      </c>
      <c r="C71" s="27" t="s">
        <v>186</v>
      </c>
      <c r="D71" s="26" t="s">
        <v>289</v>
      </c>
      <c r="E71" s="27" t="s">
        <v>29</v>
      </c>
      <c r="F71" s="28">
        <f t="shared" si="1"/>
        <v>2989</v>
      </c>
      <c r="G71" s="26">
        <v>5</v>
      </c>
      <c r="H71" s="28">
        <f t="shared" si="3"/>
        <v>2993</v>
      </c>
    </row>
    <row r="72" spans="1:8" ht="22.5" x14ac:dyDescent="0.2">
      <c r="A72" s="31" t="s">
        <v>290</v>
      </c>
      <c r="B72" s="26" t="s">
        <v>291</v>
      </c>
      <c r="C72" s="27" t="s">
        <v>186</v>
      </c>
      <c r="D72" s="26" t="s">
        <v>292</v>
      </c>
      <c r="E72" s="27" t="s">
        <v>29</v>
      </c>
      <c r="F72" s="28">
        <f t="shared" si="1"/>
        <v>2994</v>
      </c>
      <c r="G72" s="26">
        <v>2</v>
      </c>
      <c r="H72" s="28">
        <f t="shared" si="3"/>
        <v>2995</v>
      </c>
    </row>
    <row r="73" spans="1:8" ht="22.5" x14ac:dyDescent="0.2">
      <c r="A73" s="31" t="s">
        <v>293</v>
      </c>
      <c r="B73" s="26" t="s">
        <v>294</v>
      </c>
      <c r="C73" s="27" t="s">
        <v>186</v>
      </c>
      <c r="D73" s="26" t="s">
        <v>292</v>
      </c>
      <c r="E73" s="27" t="s">
        <v>29</v>
      </c>
      <c r="F73" s="28">
        <f t="shared" si="1"/>
        <v>2996</v>
      </c>
      <c r="G73" s="26">
        <v>2</v>
      </c>
      <c r="H73" s="28">
        <f t="shared" si="3"/>
        <v>2997</v>
      </c>
    </row>
    <row r="74" spans="1:8" ht="22.5" x14ac:dyDescent="0.2">
      <c r="A74" s="25" t="s">
        <v>295</v>
      </c>
      <c r="B74" s="26" t="s">
        <v>296</v>
      </c>
      <c r="C74" s="27" t="s">
        <v>176</v>
      </c>
      <c r="D74" s="26" t="s">
        <v>297</v>
      </c>
      <c r="E74" s="27" t="s">
        <v>29</v>
      </c>
      <c r="F74" s="28">
        <f>F73+G73</f>
        <v>2998</v>
      </c>
      <c r="G74" s="26">
        <v>3</v>
      </c>
      <c r="H74" s="28">
        <f t="shared" si="3"/>
        <v>3000</v>
      </c>
    </row>
    <row r="75" spans="1:8" ht="45" x14ac:dyDescent="0.2">
      <c r="A75" s="25" t="s">
        <v>298</v>
      </c>
      <c r="B75" s="26" t="s">
        <v>299</v>
      </c>
      <c r="C75" s="27" t="s">
        <v>186</v>
      </c>
      <c r="D75" s="26" t="s">
        <v>300</v>
      </c>
      <c r="E75" s="27" t="s">
        <v>28</v>
      </c>
      <c r="F75" s="28">
        <f>F74+G74</f>
        <v>3001</v>
      </c>
      <c r="G75" s="28">
        <v>20</v>
      </c>
      <c r="H75" s="28">
        <f t="shared" si="3"/>
        <v>3020</v>
      </c>
    </row>
    <row r="76" spans="1:8" ht="45" x14ac:dyDescent="0.2">
      <c r="A76" s="25" t="s">
        <v>301</v>
      </c>
      <c r="B76" s="26" t="s">
        <v>302</v>
      </c>
      <c r="C76" s="27" t="s">
        <v>186</v>
      </c>
      <c r="D76" s="26" t="s">
        <v>303</v>
      </c>
      <c r="E76" s="27" t="s">
        <v>28</v>
      </c>
      <c r="F76" s="28">
        <f>F75+G75</f>
        <v>3021</v>
      </c>
      <c r="G76" s="28">
        <v>15</v>
      </c>
      <c r="H76" s="28">
        <f t="shared" si="3"/>
        <v>3035</v>
      </c>
    </row>
    <row r="77" spans="1:8" ht="26.25" customHeight="1" x14ac:dyDescent="0.2">
      <c r="A77" s="57" t="s">
        <v>30</v>
      </c>
      <c r="B77" s="58"/>
      <c r="C77" s="58"/>
      <c r="D77" s="58"/>
      <c r="E77" s="58"/>
      <c r="F77" s="58"/>
      <c r="G77" s="58"/>
      <c r="H77" s="58"/>
    </row>
  </sheetData>
  <mergeCells count="4">
    <mergeCell ref="A2:H2"/>
    <mergeCell ref="A4:H4"/>
    <mergeCell ref="A8:H8"/>
    <mergeCell ref="A77:H7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B8"/>
  <sheetViews>
    <sheetView tabSelected="1" workbookViewId="0">
      <selection activeCell="L17" sqref="L17"/>
    </sheetView>
  </sheetViews>
  <sheetFormatPr baseColWidth="10" defaultRowHeight="12.75" x14ac:dyDescent="0.2"/>
  <cols>
    <col min="10" max="10" width="15.42578125" style="2" customWidth="1"/>
    <col min="15" max="15" width="12.85546875" style="2" customWidth="1"/>
    <col min="18" max="18" width="11.42578125" style="2"/>
    <col min="19" max="19" width="11.42578125" customWidth="1"/>
    <col min="27" max="27" width="10.140625" style="2" customWidth="1"/>
    <col min="37" max="37" width="17.42578125" customWidth="1"/>
    <col min="39" max="39" width="22.5703125" bestFit="1" customWidth="1"/>
  </cols>
  <sheetData>
    <row r="1" spans="1:54" s="14" customFormat="1" ht="39" thickBot="1" x14ac:dyDescent="0.25">
      <c r="A1" s="16" t="s">
        <v>0</v>
      </c>
      <c r="B1" s="16" t="s">
        <v>37</v>
      </c>
      <c r="C1" s="16" t="s">
        <v>38</v>
      </c>
      <c r="D1" s="16" t="s">
        <v>96</v>
      </c>
      <c r="E1" s="16" t="s">
        <v>39</v>
      </c>
      <c r="F1" s="16" t="s">
        <v>8</v>
      </c>
      <c r="G1" s="16" t="s">
        <v>97</v>
      </c>
      <c r="H1" s="16" t="s">
        <v>98</v>
      </c>
      <c r="I1" s="16" t="s">
        <v>99</v>
      </c>
      <c r="J1" s="16" t="s">
        <v>100</v>
      </c>
      <c r="K1" s="16" t="s">
        <v>166</v>
      </c>
      <c r="L1" s="16" t="s">
        <v>167</v>
      </c>
      <c r="M1" s="16" t="s">
        <v>168</v>
      </c>
      <c r="N1" s="16" t="s">
        <v>106</v>
      </c>
      <c r="O1" s="16" t="s">
        <v>108</v>
      </c>
      <c r="P1" s="16" t="s">
        <v>109</v>
      </c>
      <c r="Q1" s="16" t="s">
        <v>169</v>
      </c>
      <c r="R1" s="16" t="s">
        <v>117</v>
      </c>
      <c r="S1" s="16" t="s">
        <v>166</v>
      </c>
      <c r="T1" s="16" t="s">
        <v>119</v>
      </c>
      <c r="U1" s="16" t="s">
        <v>120</v>
      </c>
      <c r="V1" s="39" t="s">
        <v>111</v>
      </c>
      <c r="W1" s="16" t="s">
        <v>170</v>
      </c>
      <c r="X1" s="16" t="s">
        <v>107</v>
      </c>
      <c r="Y1" s="16" t="s">
        <v>112</v>
      </c>
      <c r="Z1" s="16" t="s">
        <v>113</v>
      </c>
      <c r="AA1" s="47" t="s">
        <v>114</v>
      </c>
      <c r="AB1" s="16" t="s">
        <v>110</v>
      </c>
      <c r="AC1" s="16" t="s">
        <v>171</v>
      </c>
      <c r="AD1" s="16" t="s">
        <v>172</v>
      </c>
      <c r="AE1" s="16" t="s">
        <v>115</v>
      </c>
      <c r="AF1" s="16" t="s">
        <v>116</v>
      </c>
      <c r="AG1" s="16" t="s">
        <v>173</v>
      </c>
      <c r="AH1" s="16" t="s">
        <v>174</v>
      </c>
      <c r="AI1" s="16" t="s">
        <v>101</v>
      </c>
      <c r="AJ1" s="39" t="s">
        <v>102</v>
      </c>
      <c r="AK1" s="16" t="s">
        <v>103</v>
      </c>
      <c r="AL1" s="39" t="s">
        <v>104</v>
      </c>
      <c r="AM1" s="39" t="s">
        <v>105</v>
      </c>
      <c r="AN1" s="16" t="s">
        <v>118</v>
      </c>
      <c r="AO1" s="16" t="s">
        <v>325</v>
      </c>
      <c r="AP1" s="13"/>
      <c r="AQ1" s="13"/>
      <c r="AR1" s="13"/>
      <c r="AS1" s="13"/>
      <c r="AT1" s="13"/>
      <c r="AU1" s="13"/>
      <c r="AV1" s="13"/>
      <c r="AW1" s="13"/>
      <c r="AX1" s="13"/>
      <c r="AY1" s="13"/>
      <c r="AZ1" s="13"/>
      <c r="BA1" s="13"/>
      <c r="BB1" s="13"/>
    </row>
    <row r="2" spans="1:54" ht="13.5" thickBot="1" x14ac:dyDescent="0.25">
      <c r="A2" s="17" t="s">
        <v>2</v>
      </c>
      <c r="B2" s="17" t="s">
        <v>3</v>
      </c>
      <c r="C2" s="17" t="s">
        <v>3</v>
      </c>
      <c r="D2" s="17" t="s">
        <v>3</v>
      </c>
      <c r="E2" s="17" t="s">
        <v>3</v>
      </c>
      <c r="F2" s="17" t="s">
        <v>3</v>
      </c>
      <c r="G2" s="17" t="s">
        <v>4</v>
      </c>
      <c r="H2" s="17" t="s">
        <v>4</v>
      </c>
      <c r="I2" s="17" t="s">
        <v>3</v>
      </c>
      <c r="J2" s="17" t="s">
        <v>3</v>
      </c>
      <c r="K2" s="17" t="s">
        <v>4</v>
      </c>
      <c r="L2" s="17" t="s">
        <v>4</v>
      </c>
      <c r="M2" s="17" t="s">
        <v>4</v>
      </c>
      <c r="N2" s="17" t="s">
        <v>4</v>
      </c>
      <c r="O2" s="17" t="s">
        <v>3</v>
      </c>
      <c r="P2" s="17" t="s">
        <v>4</v>
      </c>
      <c r="Q2" s="17" t="s">
        <v>3</v>
      </c>
      <c r="R2" s="17" t="s">
        <v>4</v>
      </c>
      <c r="S2" s="17" t="s">
        <v>4</v>
      </c>
      <c r="T2" s="17" t="s">
        <v>4</v>
      </c>
      <c r="U2" s="17" t="s">
        <v>4</v>
      </c>
      <c r="V2" s="40" t="s">
        <v>4</v>
      </c>
      <c r="W2" s="17" t="s">
        <v>4</v>
      </c>
      <c r="X2" s="17" t="s">
        <v>4</v>
      </c>
      <c r="Y2" s="17" t="s">
        <v>3</v>
      </c>
      <c r="Z2" s="17" t="s">
        <v>3</v>
      </c>
      <c r="AA2" s="48" t="s">
        <v>3</v>
      </c>
      <c r="AB2" s="17" t="s">
        <v>3</v>
      </c>
      <c r="AC2" s="17" t="s">
        <v>3</v>
      </c>
      <c r="AD2" s="17" t="s">
        <v>3</v>
      </c>
      <c r="AE2" s="17" t="s">
        <v>4</v>
      </c>
      <c r="AF2" s="17" t="s">
        <v>4</v>
      </c>
      <c r="AG2" s="17" t="s">
        <v>4</v>
      </c>
      <c r="AH2" s="17" t="s">
        <v>4</v>
      </c>
      <c r="AI2" s="17" t="s">
        <v>3</v>
      </c>
      <c r="AJ2" s="40" t="s">
        <v>4</v>
      </c>
      <c r="AK2" s="17" t="s">
        <v>4</v>
      </c>
      <c r="AL2" s="40" t="s">
        <v>4</v>
      </c>
      <c r="AM2" s="40" t="s">
        <v>4</v>
      </c>
      <c r="AN2" s="17" t="s">
        <v>4</v>
      </c>
      <c r="AO2" s="17" t="s">
        <v>4</v>
      </c>
      <c r="AP2" s="15"/>
      <c r="AQ2" s="15"/>
      <c r="AR2" s="15"/>
      <c r="AS2" s="15"/>
      <c r="AT2" s="15"/>
      <c r="AU2" s="15"/>
      <c r="AV2" s="15"/>
      <c r="AW2" s="15"/>
      <c r="AX2" s="15"/>
      <c r="AY2" s="15"/>
      <c r="AZ2" s="15"/>
      <c r="BA2" s="15"/>
      <c r="BB2" s="15"/>
    </row>
    <row r="3" spans="1:54" x14ac:dyDescent="0.2">
      <c r="A3" s="18" t="s">
        <v>1</v>
      </c>
      <c r="B3" s="18">
        <v>7</v>
      </c>
      <c r="C3" s="18">
        <v>4</v>
      </c>
      <c r="D3" s="18">
        <v>2</v>
      </c>
      <c r="E3" s="18">
        <v>2</v>
      </c>
      <c r="F3" s="18">
        <v>3</v>
      </c>
      <c r="G3" s="18">
        <v>3</v>
      </c>
      <c r="H3" s="18">
        <v>3</v>
      </c>
      <c r="I3" s="18">
        <v>8</v>
      </c>
      <c r="J3" s="18">
        <v>10</v>
      </c>
      <c r="K3" s="18">
        <v>55</v>
      </c>
      <c r="L3" s="18">
        <v>5</v>
      </c>
      <c r="M3" s="18">
        <v>10</v>
      </c>
      <c r="N3" s="18">
        <v>15</v>
      </c>
      <c r="O3" s="18">
        <v>3</v>
      </c>
      <c r="P3" s="18">
        <v>2</v>
      </c>
      <c r="Q3" s="18">
        <v>1</v>
      </c>
      <c r="R3" s="18">
        <v>3</v>
      </c>
      <c r="S3" s="18">
        <v>2</v>
      </c>
      <c r="T3" s="18">
        <v>15</v>
      </c>
      <c r="U3" s="18">
        <v>15</v>
      </c>
      <c r="V3" s="41">
        <v>3</v>
      </c>
      <c r="W3" s="18">
        <v>4</v>
      </c>
      <c r="X3" s="18">
        <v>4</v>
      </c>
      <c r="Y3" s="18">
        <v>20</v>
      </c>
      <c r="Z3" s="18">
        <v>20</v>
      </c>
      <c r="AA3" s="49">
        <v>20</v>
      </c>
      <c r="AB3" s="18">
        <v>1</v>
      </c>
      <c r="AC3" s="18">
        <v>1</v>
      </c>
      <c r="AD3" s="18">
        <v>1</v>
      </c>
      <c r="AE3" s="18">
        <v>255</v>
      </c>
      <c r="AF3" s="18">
        <v>2000</v>
      </c>
      <c r="AG3" s="18">
        <v>40</v>
      </c>
      <c r="AH3" s="18">
        <v>4</v>
      </c>
      <c r="AI3" s="18">
        <v>7</v>
      </c>
      <c r="AJ3" s="41">
        <v>50</v>
      </c>
      <c r="AK3" s="18">
        <v>20</v>
      </c>
      <c r="AL3" s="41">
        <v>20</v>
      </c>
      <c r="AM3" s="41">
        <v>20</v>
      </c>
      <c r="AN3" s="18">
        <v>20</v>
      </c>
      <c r="AO3" s="18">
        <v>2</v>
      </c>
      <c r="AP3" s="15"/>
      <c r="AQ3" s="15"/>
      <c r="AR3" s="15"/>
      <c r="AS3" s="15"/>
      <c r="AT3" s="15"/>
      <c r="AU3" s="15"/>
      <c r="AV3" s="15"/>
      <c r="AW3" s="15"/>
      <c r="AX3" s="15"/>
      <c r="AY3" s="15"/>
      <c r="AZ3" s="15"/>
      <c r="BA3" s="15"/>
      <c r="BB3" s="15"/>
    </row>
    <row r="4" spans="1:54" ht="15" x14ac:dyDescent="0.25">
      <c r="A4">
        <v>1</v>
      </c>
      <c r="B4">
        <v>3</v>
      </c>
      <c r="C4" s="37">
        <v>470</v>
      </c>
      <c r="D4" s="12" t="s">
        <v>164</v>
      </c>
      <c r="E4" s="12" t="s">
        <v>331</v>
      </c>
      <c r="F4" s="12" t="s">
        <v>6</v>
      </c>
      <c r="G4" s="12" t="s">
        <v>6</v>
      </c>
      <c r="H4" s="12" t="s">
        <v>332</v>
      </c>
      <c r="I4">
        <v>1</v>
      </c>
      <c r="J4" s="37">
        <v>1</v>
      </c>
      <c r="L4" s="37" t="s">
        <v>333</v>
      </c>
      <c r="O4" s="37">
        <v>501</v>
      </c>
      <c r="P4" s="38" t="s">
        <v>164</v>
      </c>
      <c r="Q4">
        <v>0</v>
      </c>
      <c r="R4" s="12" t="s">
        <v>6</v>
      </c>
      <c r="T4">
        <v>240</v>
      </c>
      <c r="V4" s="37" t="s">
        <v>337</v>
      </c>
      <c r="X4" s="37" t="s">
        <v>334</v>
      </c>
      <c r="Y4">
        <v>1</v>
      </c>
      <c r="AA4"/>
      <c r="AB4">
        <v>2</v>
      </c>
      <c r="AC4">
        <v>0</v>
      </c>
      <c r="AD4">
        <v>0</v>
      </c>
      <c r="AK4" s="51"/>
      <c r="AM4" s="2"/>
      <c r="AN4">
        <v>101</v>
      </c>
    </row>
    <row r="5" spans="1:54" ht="15" x14ac:dyDescent="0.25">
      <c r="A5">
        <v>2</v>
      </c>
      <c r="B5">
        <v>4</v>
      </c>
      <c r="C5" s="37">
        <v>470</v>
      </c>
      <c r="D5" s="12" t="s">
        <v>164</v>
      </c>
      <c r="E5" s="12" t="s">
        <v>331</v>
      </c>
      <c r="F5" s="12" t="s">
        <v>6</v>
      </c>
      <c r="G5" s="12" t="s">
        <v>6</v>
      </c>
      <c r="H5" s="12" t="s">
        <v>332</v>
      </c>
      <c r="I5">
        <v>1</v>
      </c>
      <c r="J5" s="37">
        <v>2</v>
      </c>
      <c r="L5" s="37" t="s">
        <v>333</v>
      </c>
      <c r="O5" s="37">
        <v>501</v>
      </c>
      <c r="P5" s="38" t="s">
        <v>164</v>
      </c>
      <c r="Q5">
        <v>0</v>
      </c>
      <c r="R5" s="12" t="s">
        <v>6</v>
      </c>
      <c r="T5">
        <v>240</v>
      </c>
      <c r="V5" s="37" t="s">
        <v>337</v>
      </c>
      <c r="X5" s="37" t="s">
        <v>334</v>
      </c>
      <c r="Y5">
        <v>1</v>
      </c>
      <c r="AA5"/>
      <c r="AB5">
        <v>2</v>
      </c>
      <c r="AC5">
        <v>0</v>
      </c>
      <c r="AD5">
        <v>0</v>
      </c>
      <c r="AK5" s="51"/>
      <c r="AM5" s="2"/>
      <c r="AN5">
        <v>101</v>
      </c>
    </row>
    <row r="6" spans="1:54" ht="15" x14ac:dyDescent="0.25">
      <c r="A6">
        <v>3</v>
      </c>
      <c r="B6">
        <v>5</v>
      </c>
      <c r="C6" s="37">
        <v>470</v>
      </c>
      <c r="D6" s="12" t="s">
        <v>164</v>
      </c>
      <c r="E6" s="12" t="s">
        <v>331</v>
      </c>
      <c r="F6" s="12" t="s">
        <v>6</v>
      </c>
      <c r="G6" s="12" t="s">
        <v>6</v>
      </c>
      <c r="H6" s="12" t="s">
        <v>332</v>
      </c>
      <c r="I6">
        <v>1</v>
      </c>
      <c r="J6" s="37">
        <v>3</v>
      </c>
      <c r="L6" s="37" t="s">
        <v>333</v>
      </c>
      <c r="O6" s="37">
        <v>501</v>
      </c>
      <c r="P6" s="38" t="s">
        <v>164</v>
      </c>
      <c r="Q6">
        <v>0</v>
      </c>
      <c r="R6" s="12" t="s">
        <v>6</v>
      </c>
      <c r="T6">
        <v>240</v>
      </c>
      <c r="V6" s="37" t="s">
        <v>337</v>
      </c>
      <c r="X6" s="37" t="s">
        <v>334</v>
      </c>
      <c r="Y6">
        <v>1</v>
      </c>
      <c r="AA6"/>
      <c r="AB6">
        <v>2</v>
      </c>
      <c r="AC6">
        <v>0</v>
      </c>
      <c r="AD6">
        <v>0</v>
      </c>
      <c r="AK6" s="51"/>
      <c r="AN6">
        <v>101</v>
      </c>
    </row>
    <row r="7" spans="1:54" ht="15" x14ac:dyDescent="0.25">
      <c r="A7">
        <v>4</v>
      </c>
      <c r="B7">
        <v>6</v>
      </c>
      <c r="C7" s="37">
        <v>470</v>
      </c>
      <c r="D7" s="12" t="s">
        <v>164</v>
      </c>
      <c r="E7" s="12" t="s">
        <v>331</v>
      </c>
      <c r="F7" s="12" t="s">
        <v>6</v>
      </c>
      <c r="G7" s="12" t="s">
        <v>6</v>
      </c>
      <c r="H7" s="12" t="s">
        <v>332</v>
      </c>
      <c r="I7">
        <v>1</v>
      </c>
      <c r="J7" s="37">
        <v>4</v>
      </c>
      <c r="L7" s="37" t="s">
        <v>333</v>
      </c>
      <c r="O7" s="37">
        <v>501</v>
      </c>
      <c r="P7" s="38" t="s">
        <v>164</v>
      </c>
      <c r="Q7">
        <v>0</v>
      </c>
      <c r="R7" s="12" t="s">
        <v>6</v>
      </c>
      <c r="T7">
        <v>240</v>
      </c>
      <c r="V7" s="37" t="s">
        <v>337</v>
      </c>
      <c r="X7" s="37" t="s">
        <v>334</v>
      </c>
      <c r="Y7">
        <v>1</v>
      </c>
      <c r="AB7">
        <v>2</v>
      </c>
      <c r="AC7">
        <v>0</v>
      </c>
      <c r="AD7">
        <v>0</v>
      </c>
      <c r="AK7" s="51"/>
      <c r="AN7">
        <v>101</v>
      </c>
    </row>
    <row r="8" spans="1:54" ht="15" x14ac:dyDescent="0.25">
      <c r="A8">
        <v>5</v>
      </c>
      <c r="B8">
        <v>7</v>
      </c>
      <c r="C8" s="37">
        <v>470</v>
      </c>
      <c r="D8" s="12" t="s">
        <v>164</v>
      </c>
      <c r="E8" s="12" t="s">
        <v>331</v>
      </c>
      <c r="F8" s="12" t="s">
        <v>6</v>
      </c>
      <c r="G8" s="12" t="s">
        <v>6</v>
      </c>
      <c r="H8" s="12" t="s">
        <v>332</v>
      </c>
      <c r="I8">
        <v>1</v>
      </c>
      <c r="J8" s="37">
        <v>5</v>
      </c>
      <c r="L8" s="37" t="s">
        <v>333</v>
      </c>
      <c r="O8" s="37">
        <v>501</v>
      </c>
      <c r="P8" s="38" t="s">
        <v>164</v>
      </c>
      <c r="Q8">
        <v>0</v>
      </c>
      <c r="R8" s="12" t="s">
        <v>6</v>
      </c>
      <c r="T8">
        <v>240</v>
      </c>
      <c r="V8" s="37" t="s">
        <v>337</v>
      </c>
      <c r="X8" s="37" t="s">
        <v>334</v>
      </c>
      <c r="Y8">
        <v>1</v>
      </c>
      <c r="AB8">
        <v>2</v>
      </c>
      <c r="AC8">
        <v>0</v>
      </c>
      <c r="AD8">
        <v>0</v>
      </c>
      <c r="AK8" s="51"/>
      <c r="AN8">
        <v>101</v>
      </c>
    </row>
  </sheetData>
  <phoneticPr fontId="3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H59"/>
  <sheetViews>
    <sheetView workbookViewId="0">
      <selection activeCell="D24" sqref="D24"/>
    </sheetView>
  </sheetViews>
  <sheetFormatPr baseColWidth="10" defaultColWidth="35.28515625" defaultRowHeight="11.25" x14ac:dyDescent="0.2"/>
  <cols>
    <col min="1" max="1" width="29.28515625" style="20" bestFit="1" customWidth="1"/>
    <col min="2" max="2" width="23.85546875" style="21" bestFit="1" customWidth="1"/>
    <col min="3" max="3" width="10.140625" style="20" bestFit="1" customWidth="1"/>
    <col min="4" max="4" width="37.28515625" style="21" bestFit="1" customWidth="1"/>
    <col min="5" max="5" width="4.140625" style="20" bestFit="1" customWidth="1"/>
    <col min="6" max="6" width="5.5703125" style="22" bestFit="1" customWidth="1"/>
    <col min="7" max="7" width="7.85546875" style="22" bestFit="1" customWidth="1"/>
    <col min="8" max="8" width="6.28515625" style="22" bestFit="1" customWidth="1"/>
    <col min="9" max="256" width="35.28515625" style="19"/>
    <col min="257" max="257" width="29.28515625" style="19" bestFit="1" customWidth="1"/>
    <col min="258" max="258" width="23.85546875" style="19" bestFit="1" customWidth="1"/>
    <col min="259" max="259" width="10.140625" style="19" bestFit="1" customWidth="1"/>
    <col min="260" max="260" width="37.28515625" style="19" bestFit="1" customWidth="1"/>
    <col min="261" max="261" width="4.140625" style="19" bestFit="1" customWidth="1"/>
    <col min="262" max="262" width="5.5703125" style="19" bestFit="1" customWidth="1"/>
    <col min="263" max="263" width="7.85546875" style="19" bestFit="1" customWidth="1"/>
    <col min="264" max="264" width="6.28515625" style="19" bestFit="1" customWidth="1"/>
    <col min="265" max="512" width="35.28515625" style="19"/>
    <col min="513" max="513" width="29.28515625" style="19" bestFit="1" customWidth="1"/>
    <col min="514" max="514" width="23.85546875" style="19" bestFit="1" customWidth="1"/>
    <col min="515" max="515" width="10.140625" style="19" bestFit="1" customWidth="1"/>
    <col min="516" max="516" width="37.28515625" style="19" bestFit="1" customWidth="1"/>
    <col min="517" max="517" width="4.140625" style="19" bestFit="1" customWidth="1"/>
    <col min="518" max="518" width="5.5703125" style="19" bestFit="1" customWidth="1"/>
    <col min="519" max="519" width="7.85546875" style="19" bestFit="1" customWidth="1"/>
    <col min="520" max="520" width="6.28515625" style="19" bestFit="1" customWidth="1"/>
    <col min="521" max="768" width="35.28515625" style="19"/>
    <col min="769" max="769" width="29.28515625" style="19" bestFit="1" customWidth="1"/>
    <col min="770" max="770" width="23.85546875" style="19" bestFit="1" customWidth="1"/>
    <col min="771" max="771" width="10.140625" style="19" bestFit="1" customWidth="1"/>
    <col min="772" max="772" width="37.28515625" style="19" bestFit="1" customWidth="1"/>
    <col min="773" max="773" width="4.140625" style="19" bestFit="1" customWidth="1"/>
    <col min="774" max="774" width="5.5703125" style="19" bestFit="1" customWidth="1"/>
    <col min="775" max="775" width="7.85546875" style="19" bestFit="1" customWidth="1"/>
    <col min="776" max="776" width="6.28515625" style="19" bestFit="1" customWidth="1"/>
    <col min="777" max="1024" width="35.28515625" style="19"/>
    <col min="1025" max="1025" width="29.28515625" style="19" bestFit="1" customWidth="1"/>
    <col min="1026" max="1026" width="23.85546875" style="19" bestFit="1" customWidth="1"/>
    <col min="1027" max="1027" width="10.140625" style="19" bestFit="1" customWidth="1"/>
    <col min="1028" max="1028" width="37.28515625" style="19" bestFit="1" customWidth="1"/>
    <col min="1029" max="1029" width="4.140625" style="19" bestFit="1" customWidth="1"/>
    <col min="1030" max="1030" width="5.5703125" style="19" bestFit="1" customWidth="1"/>
    <col min="1031" max="1031" width="7.85546875" style="19" bestFit="1" customWidth="1"/>
    <col min="1032" max="1032" width="6.28515625" style="19" bestFit="1" customWidth="1"/>
    <col min="1033" max="1280" width="35.28515625" style="19"/>
    <col min="1281" max="1281" width="29.28515625" style="19" bestFit="1" customWidth="1"/>
    <col min="1282" max="1282" width="23.85546875" style="19" bestFit="1" customWidth="1"/>
    <col min="1283" max="1283" width="10.140625" style="19" bestFit="1" customWidth="1"/>
    <col min="1284" max="1284" width="37.28515625" style="19" bestFit="1" customWidth="1"/>
    <col min="1285" max="1285" width="4.140625" style="19" bestFit="1" customWidth="1"/>
    <col min="1286" max="1286" width="5.5703125" style="19" bestFit="1" customWidth="1"/>
    <col min="1287" max="1287" width="7.85546875" style="19" bestFit="1" customWidth="1"/>
    <col min="1288" max="1288" width="6.28515625" style="19" bestFit="1" customWidth="1"/>
    <col min="1289" max="1536" width="35.28515625" style="19"/>
    <col min="1537" max="1537" width="29.28515625" style="19" bestFit="1" customWidth="1"/>
    <col min="1538" max="1538" width="23.85546875" style="19" bestFit="1" customWidth="1"/>
    <col min="1539" max="1539" width="10.140625" style="19" bestFit="1" customWidth="1"/>
    <col min="1540" max="1540" width="37.28515625" style="19" bestFit="1" customWidth="1"/>
    <col min="1541" max="1541" width="4.140625" style="19" bestFit="1" customWidth="1"/>
    <col min="1542" max="1542" width="5.5703125" style="19" bestFit="1" customWidth="1"/>
    <col min="1543" max="1543" width="7.85546875" style="19" bestFit="1" customWidth="1"/>
    <col min="1544" max="1544" width="6.28515625" style="19" bestFit="1" customWidth="1"/>
    <col min="1545" max="1792" width="35.28515625" style="19"/>
    <col min="1793" max="1793" width="29.28515625" style="19" bestFit="1" customWidth="1"/>
    <col min="1794" max="1794" width="23.85546875" style="19" bestFit="1" customWidth="1"/>
    <col min="1795" max="1795" width="10.140625" style="19" bestFit="1" customWidth="1"/>
    <col min="1796" max="1796" width="37.28515625" style="19" bestFit="1" customWidth="1"/>
    <col min="1797" max="1797" width="4.140625" style="19" bestFit="1" customWidth="1"/>
    <col min="1798" max="1798" width="5.5703125" style="19" bestFit="1" customWidth="1"/>
    <col min="1799" max="1799" width="7.85546875" style="19" bestFit="1" customWidth="1"/>
    <col min="1800" max="1800" width="6.28515625" style="19" bestFit="1" customWidth="1"/>
    <col min="1801" max="2048" width="35.28515625" style="19"/>
    <col min="2049" max="2049" width="29.28515625" style="19" bestFit="1" customWidth="1"/>
    <col min="2050" max="2050" width="23.85546875" style="19" bestFit="1" customWidth="1"/>
    <col min="2051" max="2051" width="10.140625" style="19" bestFit="1" customWidth="1"/>
    <col min="2052" max="2052" width="37.28515625" style="19" bestFit="1" customWidth="1"/>
    <col min="2053" max="2053" width="4.140625" style="19" bestFit="1" customWidth="1"/>
    <col min="2054" max="2054" width="5.5703125" style="19" bestFit="1" customWidth="1"/>
    <col min="2055" max="2055" width="7.85546875" style="19" bestFit="1" customWidth="1"/>
    <col min="2056" max="2056" width="6.28515625" style="19" bestFit="1" customWidth="1"/>
    <col min="2057" max="2304" width="35.28515625" style="19"/>
    <col min="2305" max="2305" width="29.28515625" style="19" bestFit="1" customWidth="1"/>
    <col min="2306" max="2306" width="23.85546875" style="19" bestFit="1" customWidth="1"/>
    <col min="2307" max="2307" width="10.140625" style="19" bestFit="1" customWidth="1"/>
    <col min="2308" max="2308" width="37.28515625" style="19" bestFit="1" customWidth="1"/>
    <col min="2309" max="2309" width="4.140625" style="19" bestFit="1" customWidth="1"/>
    <col min="2310" max="2310" width="5.5703125" style="19" bestFit="1" customWidth="1"/>
    <col min="2311" max="2311" width="7.85546875" style="19" bestFit="1" customWidth="1"/>
    <col min="2312" max="2312" width="6.28515625" style="19" bestFit="1" customWidth="1"/>
    <col min="2313" max="2560" width="35.28515625" style="19"/>
    <col min="2561" max="2561" width="29.28515625" style="19" bestFit="1" customWidth="1"/>
    <col min="2562" max="2562" width="23.85546875" style="19" bestFit="1" customWidth="1"/>
    <col min="2563" max="2563" width="10.140625" style="19" bestFit="1" customWidth="1"/>
    <col min="2564" max="2564" width="37.28515625" style="19" bestFit="1" customWidth="1"/>
    <col min="2565" max="2565" width="4.140625" style="19" bestFit="1" customWidth="1"/>
    <col min="2566" max="2566" width="5.5703125" style="19" bestFit="1" customWidth="1"/>
    <col min="2567" max="2567" width="7.85546875" style="19" bestFit="1" customWidth="1"/>
    <col min="2568" max="2568" width="6.28515625" style="19" bestFit="1" customWidth="1"/>
    <col min="2569" max="2816" width="35.28515625" style="19"/>
    <col min="2817" max="2817" width="29.28515625" style="19" bestFit="1" customWidth="1"/>
    <col min="2818" max="2818" width="23.85546875" style="19" bestFit="1" customWidth="1"/>
    <col min="2819" max="2819" width="10.140625" style="19" bestFit="1" customWidth="1"/>
    <col min="2820" max="2820" width="37.28515625" style="19" bestFit="1" customWidth="1"/>
    <col min="2821" max="2821" width="4.140625" style="19" bestFit="1" customWidth="1"/>
    <col min="2822" max="2822" width="5.5703125" style="19" bestFit="1" customWidth="1"/>
    <col min="2823" max="2823" width="7.85546875" style="19" bestFit="1" customWidth="1"/>
    <col min="2824" max="2824" width="6.28515625" style="19" bestFit="1" customWidth="1"/>
    <col min="2825" max="3072" width="35.28515625" style="19"/>
    <col min="3073" max="3073" width="29.28515625" style="19" bestFit="1" customWidth="1"/>
    <col min="3074" max="3074" width="23.85546875" style="19" bestFit="1" customWidth="1"/>
    <col min="3075" max="3075" width="10.140625" style="19" bestFit="1" customWidth="1"/>
    <col min="3076" max="3076" width="37.28515625" style="19" bestFit="1" customWidth="1"/>
    <col min="3077" max="3077" width="4.140625" style="19" bestFit="1" customWidth="1"/>
    <col min="3078" max="3078" width="5.5703125" style="19" bestFit="1" customWidth="1"/>
    <col min="3079" max="3079" width="7.85546875" style="19" bestFit="1" customWidth="1"/>
    <col min="3080" max="3080" width="6.28515625" style="19" bestFit="1" customWidth="1"/>
    <col min="3081" max="3328" width="35.28515625" style="19"/>
    <col min="3329" max="3329" width="29.28515625" style="19" bestFit="1" customWidth="1"/>
    <col min="3330" max="3330" width="23.85546875" style="19" bestFit="1" customWidth="1"/>
    <col min="3331" max="3331" width="10.140625" style="19" bestFit="1" customWidth="1"/>
    <col min="3332" max="3332" width="37.28515625" style="19" bestFit="1" customWidth="1"/>
    <col min="3333" max="3333" width="4.140625" style="19" bestFit="1" customWidth="1"/>
    <col min="3334" max="3334" width="5.5703125" style="19" bestFit="1" customWidth="1"/>
    <col min="3335" max="3335" width="7.85546875" style="19" bestFit="1" customWidth="1"/>
    <col min="3336" max="3336" width="6.28515625" style="19" bestFit="1" customWidth="1"/>
    <col min="3337" max="3584" width="35.28515625" style="19"/>
    <col min="3585" max="3585" width="29.28515625" style="19" bestFit="1" customWidth="1"/>
    <col min="3586" max="3586" width="23.85546875" style="19" bestFit="1" customWidth="1"/>
    <col min="3587" max="3587" width="10.140625" style="19" bestFit="1" customWidth="1"/>
    <col min="3588" max="3588" width="37.28515625" style="19" bestFit="1" customWidth="1"/>
    <col min="3589" max="3589" width="4.140625" style="19" bestFit="1" customWidth="1"/>
    <col min="3590" max="3590" width="5.5703125" style="19" bestFit="1" customWidth="1"/>
    <col min="3591" max="3591" width="7.85546875" style="19" bestFit="1" customWidth="1"/>
    <col min="3592" max="3592" width="6.28515625" style="19" bestFit="1" customWidth="1"/>
    <col min="3593" max="3840" width="35.28515625" style="19"/>
    <col min="3841" max="3841" width="29.28515625" style="19" bestFit="1" customWidth="1"/>
    <col min="3842" max="3842" width="23.85546875" style="19" bestFit="1" customWidth="1"/>
    <col min="3843" max="3843" width="10.140625" style="19" bestFit="1" customWidth="1"/>
    <col min="3844" max="3844" width="37.28515625" style="19" bestFit="1" customWidth="1"/>
    <col min="3845" max="3845" width="4.140625" style="19" bestFit="1" customWidth="1"/>
    <col min="3846" max="3846" width="5.5703125" style="19" bestFit="1" customWidth="1"/>
    <col min="3847" max="3847" width="7.85546875" style="19" bestFit="1" customWidth="1"/>
    <col min="3848" max="3848" width="6.28515625" style="19" bestFit="1" customWidth="1"/>
    <col min="3849" max="4096" width="35.28515625" style="19"/>
    <col min="4097" max="4097" width="29.28515625" style="19" bestFit="1" customWidth="1"/>
    <col min="4098" max="4098" width="23.85546875" style="19" bestFit="1" customWidth="1"/>
    <col min="4099" max="4099" width="10.140625" style="19" bestFit="1" customWidth="1"/>
    <col min="4100" max="4100" width="37.28515625" style="19" bestFit="1" customWidth="1"/>
    <col min="4101" max="4101" width="4.140625" style="19" bestFit="1" customWidth="1"/>
    <col min="4102" max="4102" width="5.5703125" style="19" bestFit="1" customWidth="1"/>
    <col min="4103" max="4103" width="7.85546875" style="19" bestFit="1" customWidth="1"/>
    <col min="4104" max="4104" width="6.28515625" style="19" bestFit="1" customWidth="1"/>
    <col min="4105" max="4352" width="35.28515625" style="19"/>
    <col min="4353" max="4353" width="29.28515625" style="19" bestFit="1" customWidth="1"/>
    <col min="4354" max="4354" width="23.85546875" style="19" bestFit="1" customWidth="1"/>
    <col min="4355" max="4355" width="10.140625" style="19" bestFit="1" customWidth="1"/>
    <col min="4356" max="4356" width="37.28515625" style="19" bestFit="1" customWidth="1"/>
    <col min="4357" max="4357" width="4.140625" style="19" bestFit="1" customWidth="1"/>
    <col min="4358" max="4358" width="5.5703125" style="19" bestFit="1" customWidth="1"/>
    <col min="4359" max="4359" width="7.85546875" style="19" bestFit="1" customWidth="1"/>
    <col min="4360" max="4360" width="6.28515625" style="19" bestFit="1" customWidth="1"/>
    <col min="4361" max="4608" width="35.28515625" style="19"/>
    <col min="4609" max="4609" width="29.28515625" style="19" bestFit="1" customWidth="1"/>
    <col min="4610" max="4610" width="23.85546875" style="19" bestFit="1" customWidth="1"/>
    <col min="4611" max="4611" width="10.140625" style="19" bestFit="1" customWidth="1"/>
    <col min="4612" max="4612" width="37.28515625" style="19" bestFit="1" customWidth="1"/>
    <col min="4613" max="4613" width="4.140625" style="19" bestFit="1" customWidth="1"/>
    <col min="4614" max="4614" width="5.5703125" style="19" bestFit="1" customWidth="1"/>
    <col min="4615" max="4615" width="7.85546875" style="19" bestFit="1" customWidth="1"/>
    <col min="4616" max="4616" width="6.28515625" style="19" bestFit="1" customWidth="1"/>
    <col min="4617" max="4864" width="35.28515625" style="19"/>
    <col min="4865" max="4865" width="29.28515625" style="19" bestFit="1" customWidth="1"/>
    <col min="4866" max="4866" width="23.85546875" style="19" bestFit="1" customWidth="1"/>
    <col min="4867" max="4867" width="10.140625" style="19" bestFit="1" customWidth="1"/>
    <col min="4868" max="4868" width="37.28515625" style="19" bestFit="1" customWidth="1"/>
    <col min="4869" max="4869" width="4.140625" style="19" bestFit="1" customWidth="1"/>
    <col min="4870" max="4870" width="5.5703125" style="19" bestFit="1" customWidth="1"/>
    <col min="4871" max="4871" width="7.85546875" style="19" bestFit="1" customWidth="1"/>
    <col min="4872" max="4872" width="6.28515625" style="19" bestFit="1" customWidth="1"/>
    <col min="4873" max="5120" width="35.28515625" style="19"/>
    <col min="5121" max="5121" width="29.28515625" style="19" bestFit="1" customWidth="1"/>
    <col min="5122" max="5122" width="23.85546875" style="19" bestFit="1" customWidth="1"/>
    <col min="5123" max="5123" width="10.140625" style="19" bestFit="1" customWidth="1"/>
    <col min="5124" max="5124" width="37.28515625" style="19" bestFit="1" customWidth="1"/>
    <col min="5125" max="5125" width="4.140625" style="19" bestFit="1" customWidth="1"/>
    <col min="5126" max="5126" width="5.5703125" style="19" bestFit="1" customWidth="1"/>
    <col min="5127" max="5127" width="7.85546875" style="19" bestFit="1" customWidth="1"/>
    <col min="5128" max="5128" width="6.28515625" style="19" bestFit="1" customWidth="1"/>
    <col min="5129" max="5376" width="35.28515625" style="19"/>
    <col min="5377" max="5377" width="29.28515625" style="19" bestFit="1" customWidth="1"/>
    <col min="5378" max="5378" width="23.85546875" style="19" bestFit="1" customWidth="1"/>
    <col min="5379" max="5379" width="10.140625" style="19" bestFit="1" customWidth="1"/>
    <col min="5380" max="5380" width="37.28515625" style="19" bestFit="1" customWidth="1"/>
    <col min="5381" max="5381" width="4.140625" style="19" bestFit="1" customWidth="1"/>
    <col min="5382" max="5382" width="5.5703125" style="19" bestFit="1" customWidth="1"/>
    <col min="5383" max="5383" width="7.85546875" style="19" bestFit="1" customWidth="1"/>
    <col min="5384" max="5384" width="6.28515625" style="19" bestFit="1" customWidth="1"/>
    <col min="5385" max="5632" width="35.28515625" style="19"/>
    <col min="5633" max="5633" width="29.28515625" style="19" bestFit="1" customWidth="1"/>
    <col min="5634" max="5634" width="23.85546875" style="19" bestFit="1" customWidth="1"/>
    <col min="5635" max="5635" width="10.140625" style="19" bestFit="1" customWidth="1"/>
    <col min="5636" max="5636" width="37.28515625" style="19" bestFit="1" customWidth="1"/>
    <col min="5637" max="5637" width="4.140625" style="19" bestFit="1" customWidth="1"/>
    <col min="5638" max="5638" width="5.5703125" style="19" bestFit="1" customWidth="1"/>
    <col min="5639" max="5639" width="7.85546875" style="19" bestFit="1" customWidth="1"/>
    <col min="5640" max="5640" width="6.28515625" style="19" bestFit="1" customWidth="1"/>
    <col min="5641" max="5888" width="35.28515625" style="19"/>
    <col min="5889" max="5889" width="29.28515625" style="19" bestFit="1" customWidth="1"/>
    <col min="5890" max="5890" width="23.85546875" style="19" bestFit="1" customWidth="1"/>
    <col min="5891" max="5891" width="10.140625" style="19" bestFit="1" customWidth="1"/>
    <col min="5892" max="5892" width="37.28515625" style="19" bestFit="1" customWidth="1"/>
    <col min="5893" max="5893" width="4.140625" style="19" bestFit="1" customWidth="1"/>
    <col min="5894" max="5894" width="5.5703125" style="19" bestFit="1" customWidth="1"/>
    <col min="5895" max="5895" width="7.85546875" style="19" bestFit="1" customWidth="1"/>
    <col min="5896" max="5896" width="6.28515625" style="19" bestFit="1" customWidth="1"/>
    <col min="5897" max="6144" width="35.28515625" style="19"/>
    <col min="6145" max="6145" width="29.28515625" style="19" bestFit="1" customWidth="1"/>
    <col min="6146" max="6146" width="23.85546875" style="19" bestFit="1" customWidth="1"/>
    <col min="6147" max="6147" width="10.140625" style="19" bestFit="1" customWidth="1"/>
    <col min="6148" max="6148" width="37.28515625" style="19" bestFit="1" customWidth="1"/>
    <col min="6149" max="6149" width="4.140625" style="19" bestFit="1" customWidth="1"/>
    <col min="6150" max="6150" width="5.5703125" style="19" bestFit="1" customWidth="1"/>
    <col min="6151" max="6151" width="7.85546875" style="19" bestFit="1" customWidth="1"/>
    <col min="6152" max="6152" width="6.28515625" style="19" bestFit="1" customWidth="1"/>
    <col min="6153" max="6400" width="35.28515625" style="19"/>
    <col min="6401" max="6401" width="29.28515625" style="19" bestFit="1" customWidth="1"/>
    <col min="6402" max="6402" width="23.85546875" style="19" bestFit="1" customWidth="1"/>
    <col min="6403" max="6403" width="10.140625" style="19" bestFit="1" customWidth="1"/>
    <col min="6404" max="6404" width="37.28515625" style="19" bestFit="1" customWidth="1"/>
    <col min="6405" max="6405" width="4.140625" style="19" bestFit="1" customWidth="1"/>
    <col min="6406" max="6406" width="5.5703125" style="19" bestFit="1" customWidth="1"/>
    <col min="6407" max="6407" width="7.85546875" style="19" bestFit="1" customWidth="1"/>
    <col min="6408" max="6408" width="6.28515625" style="19" bestFit="1" customWidth="1"/>
    <col min="6409" max="6656" width="35.28515625" style="19"/>
    <col min="6657" max="6657" width="29.28515625" style="19" bestFit="1" customWidth="1"/>
    <col min="6658" max="6658" width="23.85546875" style="19" bestFit="1" customWidth="1"/>
    <col min="6659" max="6659" width="10.140625" style="19" bestFit="1" customWidth="1"/>
    <col min="6660" max="6660" width="37.28515625" style="19" bestFit="1" customWidth="1"/>
    <col min="6661" max="6661" width="4.140625" style="19" bestFit="1" customWidth="1"/>
    <col min="6662" max="6662" width="5.5703125" style="19" bestFit="1" customWidth="1"/>
    <col min="6663" max="6663" width="7.85546875" style="19" bestFit="1" customWidth="1"/>
    <col min="6664" max="6664" width="6.28515625" style="19" bestFit="1" customWidth="1"/>
    <col min="6665" max="6912" width="35.28515625" style="19"/>
    <col min="6913" max="6913" width="29.28515625" style="19" bestFit="1" customWidth="1"/>
    <col min="6914" max="6914" width="23.85546875" style="19" bestFit="1" customWidth="1"/>
    <col min="6915" max="6915" width="10.140625" style="19" bestFit="1" customWidth="1"/>
    <col min="6916" max="6916" width="37.28515625" style="19" bestFit="1" customWidth="1"/>
    <col min="6917" max="6917" width="4.140625" style="19" bestFit="1" customWidth="1"/>
    <col min="6918" max="6918" width="5.5703125" style="19" bestFit="1" customWidth="1"/>
    <col min="6919" max="6919" width="7.85546875" style="19" bestFit="1" customWidth="1"/>
    <col min="6920" max="6920" width="6.28515625" style="19" bestFit="1" customWidth="1"/>
    <col min="6921" max="7168" width="35.28515625" style="19"/>
    <col min="7169" max="7169" width="29.28515625" style="19" bestFit="1" customWidth="1"/>
    <col min="7170" max="7170" width="23.85546875" style="19" bestFit="1" customWidth="1"/>
    <col min="7171" max="7171" width="10.140625" style="19" bestFit="1" customWidth="1"/>
    <col min="7172" max="7172" width="37.28515625" style="19" bestFit="1" customWidth="1"/>
    <col min="7173" max="7173" width="4.140625" style="19" bestFit="1" customWidth="1"/>
    <col min="7174" max="7174" width="5.5703125" style="19" bestFit="1" customWidth="1"/>
    <col min="7175" max="7175" width="7.85546875" style="19" bestFit="1" customWidth="1"/>
    <col min="7176" max="7176" width="6.28515625" style="19" bestFit="1" customWidth="1"/>
    <col min="7177" max="7424" width="35.28515625" style="19"/>
    <col min="7425" max="7425" width="29.28515625" style="19" bestFit="1" customWidth="1"/>
    <col min="7426" max="7426" width="23.85546875" style="19" bestFit="1" customWidth="1"/>
    <col min="7427" max="7427" width="10.140625" style="19" bestFit="1" customWidth="1"/>
    <col min="7428" max="7428" width="37.28515625" style="19" bestFit="1" customWidth="1"/>
    <col min="7429" max="7429" width="4.140625" style="19" bestFit="1" customWidth="1"/>
    <col min="7430" max="7430" width="5.5703125" style="19" bestFit="1" customWidth="1"/>
    <col min="7431" max="7431" width="7.85546875" style="19" bestFit="1" customWidth="1"/>
    <col min="7432" max="7432" width="6.28515625" style="19" bestFit="1" customWidth="1"/>
    <col min="7433" max="7680" width="35.28515625" style="19"/>
    <col min="7681" max="7681" width="29.28515625" style="19" bestFit="1" customWidth="1"/>
    <col min="7682" max="7682" width="23.85546875" style="19" bestFit="1" customWidth="1"/>
    <col min="7683" max="7683" width="10.140625" style="19" bestFit="1" customWidth="1"/>
    <col min="7684" max="7684" width="37.28515625" style="19" bestFit="1" customWidth="1"/>
    <col min="7685" max="7685" width="4.140625" style="19" bestFit="1" customWidth="1"/>
    <col min="7686" max="7686" width="5.5703125" style="19" bestFit="1" customWidth="1"/>
    <col min="7687" max="7687" width="7.85546875" style="19" bestFit="1" customWidth="1"/>
    <col min="7688" max="7688" width="6.28515625" style="19" bestFit="1" customWidth="1"/>
    <col min="7689" max="7936" width="35.28515625" style="19"/>
    <col min="7937" max="7937" width="29.28515625" style="19" bestFit="1" customWidth="1"/>
    <col min="7938" max="7938" width="23.85546875" style="19" bestFit="1" customWidth="1"/>
    <col min="7939" max="7939" width="10.140625" style="19" bestFit="1" customWidth="1"/>
    <col min="7940" max="7940" width="37.28515625" style="19" bestFit="1" customWidth="1"/>
    <col min="7941" max="7941" width="4.140625" style="19" bestFit="1" customWidth="1"/>
    <col min="7942" max="7942" width="5.5703125" style="19" bestFit="1" customWidth="1"/>
    <col min="7943" max="7943" width="7.85546875" style="19" bestFit="1" customWidth="1"/>
    <col min="7944" max="7944" width="6.28515625" style="19" bestFit="1" customWidth="1"/>
    <col min="7945" max="8192" width="35.28515625" style="19"/>
    <col min="8193" max="8193" width="29.28515625" style="19" bestFit="1" customWidth="1"/>
    <col min="8194" max="8194" width="23.85546875" style="19" bestFit="1" customWidth="1"/>
    <col min="8195" max="8195" width="10.140625" style="19" bestFit="1" customWidth="1"/>
    <col min="8196" max="8196" width="37.28515625" style="19" bestFit="1" customWidth="1"/>
    <col min="8197" max="8197" width="4.140625" style="19" bestFit="1" customWidth="1"/>
    <col min="8198" max="8198" width="5.5703125" style="19" bestFit="1" customWidth="1"/>
    <col min="8199" max="8199" width="7.85546875" style="19" bestFit="1" customWidth="1"/>
    <col min="8200" max="8200" width="6.28515625" style="19" bestFit="1" customWidth="1"/>
    <col min="8201" max="8448" width="35.28515625" style="19"/>
    <col min="8449" max="8449" width="29.28515625" style="19" bestFit="1" customWidth="1"/>
    <col min="8450" max="8450" width="23.85546875" style="19" bestFit="1" customWidth="1"/>
    <col min="8451" max="8451" width="10.140625" style="19" bestFit="1" customWidth="1"/>
    <col min="8452" max="8452" width="37.28515625" style="19" bestFit="1" customWidth="1"/>
    <col min="8453" max="8453" width="4.140625" style="19" bestFit="1" customWidth="1"/>
    <col min="8454" max="8454" width="5.5703125" style="19" bestFit="1" customWidth="1"/>
    <col min="8455" max="8455" width="7.85546875" style="19" bestFit="1" customWidth="1"/>
    <col min="8456" max="8456" width="6.28515625" style="19" bestFit="1" customWidth="1"/>
    <col min="8457" max="8704" width="35.28515625" style="19"/>
    <col min="8705" max="8705" width="29.28515625" style="19" bestFit="1" customWidth="1"/>
    <col min="8706" max="8706" width="23.85546875" style="19" bestFit="1" customWidth="1"/>
    <col min="8707" max="8707" width="10.140625" style="19" bestFit="1" customWidth="1"/>
    <col min="8708" max="8708" width="37.28515625" style="19" bestFit="1" customWidth="1"/>
    <col min="8709" max="8709" width="4.140625" style="19" bestFit="1" customWidth="1"/>
    <col min="8710" max="8710" width="5.5703125" style="19" bestFit="1" customWidth="1"/>
    <col min="8711" max="8711" width="7.85546875" style="19" bestFit="1" customWidth="1"/>
    <col min="8712" max="8712" width="6.28515625" style="19" bestFit="1" customWidth="1"/>
    <col min="8713" max="8960" width="35.28515625" style="19"/>
    <col min="8961" max="8961" width="29.28515625" style="19" bestFit="1" customWidth="1"/>
    <col min="8962" max="8962" width="23.85546875" style="19" bestFit="1" customWidth="1"/>
    <col min="8963" max="8963" width="10.140625" style="19" bestFit="1" customWidth="1"/>
    <col min="8964" max="8964" width="37.28515625" style="19" bestFit="1" customWidth="1"/>
    <col min="8965" max="8965" width="4.140625" style="19" bestFit="1" customWidth="1"/>
    <col min="8966" max="8966" width="5.5703125" style="19" bestFit="1" customWidth="1"/>
    <col min="8967" max="8967" width="7.85546875" style="19" bestFit="1" customWidth="1"/>
    <col min="8968" max="8968" width="6.28515625" style="19" bestFit="1" customWidth="1"/>
    <col min="8969" max="9216" width="35.28515625" style="19"/>
    <col min="9217" max="9217" width="29.28515625" style="19" bestFit="1" customWidth="1"/>
    <col min="9218" max="9218" width="23.85546875" style="19" bestFit="1" customWidth="1"/>
    <col min="9219" max="9219" width="10.140625" style="19" bestFit="1" customWidth="1"/>
    <col min="9220" max="9220" width="37.28515625" style="19" bestFit="1" customWidth="1"/>
    <col min="9221" max="9221" width="4.140625" style="19" bestFit="1" customWidth="1"/>
    <col min="9222" max="9222" width="5.5703125" style="19" bestFit="1" customWidth="1"/>
    <col min="9223" max="9223" width="7.85546875" style="19" bestFit="1" customWidth="1"/>
    <col min="9224" max="9224" width="6.28515625" style="19" bestFit="1" customWidth="1"/>
    <col min="9225" max="9472" width="35.28515625" style="19"/>
    <col min="9473" max="9473" width="29.28515625" style="19" bestFit="1" customWidth="1"/>
    <col min="9474" max="9474" width="23.85546875" style="19" bestFit="1" customWidth="1"/>
    <col min="9475" max="9475" width="10.140625" style="19" bestFit="1" customWidth="1"/>
    <col min="9476" max="9476" width="37.28515625" style="19" bestFit="1" customWidth="1"/>
    <col min="9477" max="9477" width="4.140625" style="19" bestFit="1" customWidth="1"/>
    <col min="9478" max="9478" width="5.5703125" style="19" bestFit="1" customWidth="1"/>
    <col min="9479" max="9479" width="7.85546875" style="19" bestFit="1" customWidth="1"/>
    <col min="9480" max="9480" width="6.28515625" style="19" bestFit="1" customWidth="1"/>
    <col min="9481" max="9728" width="35.28515625" style="19"/>
    <col min="9729" max="9729" width="29.28515625" style="19" bestFit="1" customWidth="1"/>
    <col min="9730" max="9730" width="23.85546875" style="19" bestFit="1" customWidth="1"/>
    <col min="9731" max="9731" width="10.140625" style="19" bestFit="1" customWidth="1"/>
    <col min="9732" max="9732" width="37.28515625" style="19" bestFit="1" customWidth="1"/>
    <col min="9733" max="9733" width="4.140625" style="19" bestFit="1" customWidth="1"/>
    <col min="9734" max="9734" width="5.5703125" style="19" bestFit="1" customWidth="1"/>
    <col min="9735" max="9735" width="7.85546875" style="19" bestFit="1" customWidth="1"/>
    <col min="9736" max="9736" width="6.28515625" style="19" bestFit="1" customWidth="1"/>
    <col min="9737" max="9984" width="35.28515625" style="19"/>
    <col min="9985" max="9985" width="29.28515625" style="19" bestFit="1" customWidth="1"/>
    <col min="9986" max="9986" width="23.85546875" style="19" bestFit="1" customWidth="1"/>
    <col min="9987" max="9987" width="10.140625" style="19" bestFit="1" customWidth="1"/>
    <col min="9988" max="9988" width="37.28515625" style="19" bestFit="1" customWidth="1"/>
    <col min="9989" max="9989" width="4.140625" style="19" bestFit="1" customWidth="1"/>
    <col min="9990" max="9990" width="5.5703125" style="19" bestFit="1" customWidth="1"/>
    <col min="9991" max="9991" width="7.85546875" style="19" bestFit="1" customWidth="1"/>
    <col min="9992" max="9992" width="6.28515625" style="19" bestFit="1" customWidth="1"/>
    <col min="9993" max="10240" width="35.28515625" style="19"/>
    <col min="10241" max="10241" width="29.28515625" style="19" bestFit="1" customWidth="1"/>
    <col min="10242" max="10242" width="23.85546875" style="19" bestFit="1" customWidth="1"/>
    <col min="10243" max="10243" width="10.140625" style="19" bestFit="1" customWidth="1"/>
    <col min="10244" max="10244" width="37.28515625" style="19" bestFit="1" customWidth="1"/>
    <col min="10245" max="10245" width="4.140625" style="19" bestFit="1" customWidth="1"/>
    <col min="10246" max="10246" width="5.5703125" style="19" bestFit="1" customWidth="1"/>
    <col min="10247" max="10247" width="7.85546875" style="19" bestFit="1" customWidth="1"/>
    <col min="10248" max="10248" width="6.28515625" style="19" bestFit="1" customWidth="1"/>
    <col min="10249" max="10496" width="35.28515625" style="19"/>
    <col min="10497" max="10497" width="29.28515625" style="19" bestFit="1" customWidth="1"/>
    <col min="10498" max="10498" width="23.85546875" style="19" bestFit="1" customWidth="1"/>
    <col min="10499" max="10499" width="10.140625" style="19" bestFit="1" customWidth="1"/>
    <col min="10500" max="10500" width="37.28515625" style="19" bestFit="1" customWidth="1"/>
    <col min="10501" max="10501" width="4.140625" style="19" bestFit="1" customWidth="1"/>
    <col min="10502" max="10502" width="5.5703125" style="19" bestFit="1" customWidth="1"/>
    <col min="10503" max="10503" width="7.85546875" style="19" bestFit="1" customWidth="1"/>
    <col min="10504" max="10504" width="6.28515625" style="19" bestFit="1" customWidth="1"/>
    <col min="10505" max="10752" width="35.28515625" style="19"/>
    <col min="10753" max="10753" width="29.28515625" style="19" bestFit="1" customWidth="1"/>
    <col min="10754" max="10754" width="23.85546875" style="19" bestFit="1" customWidth="1"/>
    <col min="10755" max="10755" width="10.140625" style="19" bestFit="1" customWidth="1"/>
    <col min="10756" max="10756" width="37.28515625" style="19" bestFit="1" customWidth="1"/>
    <col min="10757" max="10757" width="4.140625" style="19" bestFit="1" customWidth="1"/>
    <col min="10758" max="10758" width="5.5703125" style="19" bestFit="1" customWidth="1"/>
    <col min="10759" max="10759" width="7.85546875" style="19" bestFit="1" customWidth="1"/>
    <col min="10760" max="10760" width="6.28515625" style="19" bestFit="1" customWidth="1"/>
    <col min="10761" max="11008" width="35.28515625" style="19"/>
    <col min="11009" max="11009" width="29.28515625" style="19" bestFit="1" customWidth="1"/>
    <col min="11010" max="11010" width="23.85546875" style="19" bestFit="1" customWidth="1"/>
    <col min="11011" max="11011" width="10.140625" style="19" bestFit="1" customWidth="1"/>
    <col min="11012" max="11012" width="37.28515625" style="19" bestFit="1" customWidth="1"/>
    <col min="11013" max="11013" width="4.140625" style="19" bestFit="1" customWidth="1"/>
    <col min="11014" max="11014" width="5.5703125" style="19" bestFit="1" customWidth="1"/>
    <col min="11015" max="11015" width="7.85546875" style="19" bestFit="1" customWidth="1"/>
    <col min="11016" max="11016" width="6.28515625" style="19" bestFit="1" customWidth="1"/>
    <col min="11017" max="11264" width="35.28515625" style="19"/>
    <col min="11265" max="11265" width="29.28515625" style="19" bestFit="1" customWidth="1"/>
    <col min="11266" max="11266" width="23.85546875" style="19" bestFit="1" customWidth="1"/>
    <col min="11267" max="11267" width="10.140625" style="19" bestFit="1" customWidth="1"/>
    <col min="11268" max="11268" width="37.28515625" style="19" bestFit="1" customWidth="1"/>
    <col min="11269" max="11269" width="4.140625" style="19" bestFit="1" customWidth="1"/>
    <col min="11270" max="11270" width="5.5703125" style="19" bestFit="1" customWidth="1"/>
    <col min="11271" max="11271" width="7.85546875" style="19" bestFit="1" customWidth="1"/>
    <col min="11272" max="11272" width="6.28515625" style="19" bestFit="1" customWidth="1"/>
    <col min="11273" max="11520" width="35.28515625" style="19"/>
    <col min="11521" max="11521" width="29.28515625" style="19" bestFit="1" customWidth="1"/>
    <col min="11522" max="11522" width="23.85546875" style="19" bestFit="1" customWidth="1"/>
    <col min="11523" max="11523" width="10.140625" style="19" bestFit="1" customWidth="1"/>
    <col min="11524" max="11524" width="37.28515625" style="19" bestFit="1" customWidth="1"/>
    <col min="11525" max="11525" width="4.140625" style="19" bestFit="1" customWidth="1"/>
    <col min="11526" max="11526" width="5.5703125" style="19" bestFit="1" customWidth="1"/>
    <col min="11527" max="11527" width="7.85546875" style="19" bestFit="1" customWidth="1"/>
    <col min="11528" max="11528" width="6.28515625" style="19" bestFit="1" customWidth="1"/>
    <col min="11529" max="11776" width="35.28515625" style="19"/>
    <col min="11777" max="11777" width="29.28515625" style="19" bestFit="1" customWidth="1"/>
    <col min="11778" max="11778" width="23.85546875" style="19" bestFit="1" customWidth="1"/>
    <col min="11779" max="11779" width="10.140625" style="19" bestFit="1" customWidth="1"/>
    <col min="11780" max="11780" width="37.28515625" style="19" bestFit="1" customWidth="1"/>
    <col min="11781" max="11781" width="4.140625" style="19" bestFit="1" customWidth="1"/>
    <col min="11782" max="11782" width="5.5703125" style="19" bestFit="1" customWidth="1"/>
    <col min="11783" max="11783" width="7.85546875" style="19" bestFit="1" customWidth="1"/>
    <col min="11784" max="11784" width="6.28515625" style="19" bestFit="1" customWidth="1"/>
    <col min="11785" max="12032" width="35.28515625" style="19"/>
    <col min="12033" max="12033" width="29.28515625" style="19" bestFit="1" customWidth="1"/>
    <col min="12034" max="12034" width="23.85546875" style="19" bestFit="1" customWidth="1"/>
    <col min="12035" max="12035" width="10.140625" style="19" bestFit="1" customWidth="1"/>
    <col min="12036" max="12036" width="37.28515625" style="19" bestFit="1" customWidth="1"/>
    <col min="12037" max="12037" width="4.140625" style="19" bestFit="1" customWidth="1"/>
    <col min="12038" max="12038" width="5.5703125" style="19" bestFit="1" customWidth="1"/>
    <col min="12039" max="12039" width="7.85546875" style="19" bestFit="1" customWidth="1"/>
    <col min="12040" max="12040" width="6.28515625" style="19" bestFit="1" customWidth="1"/>
    <col min="12041" max="12288" width="35.28515625" style="19"/>
    <col min="12289" max="12289" width="29.28515625" style="19" bestFit="1" customWidth="1"/>
    <col min="12290" max="12290" width="23.85546875" style="19" bestFit="1" customWidth="1"/>
    <col min="12291" max="12291" width="10.140625" style="19" bestFit="1" customWidth="1"/>
    <col min="12292" max="12292" width="37.28515625" style="19" bestFit="1" customWidth="1"/>
    <col min="12293" max="12293" width="4.140625" style="19" bestFit="1" customWidth="1"/>
    <col min="12294" max="12294" width="5.5703125" style="19" bestFit="1" customWidth="1"/>
    <col min="12295" max="12295" width="7.85546875" style="19" bestFit="1" customWidth="1"/>
    <col min="12296" max="12296" width="6.28515625" style="19" bestFit="1" customWidth="1"/>
    <col min="12297" max="12544" width="35.28515625" style="19"/>
    <col min="12545" max="12545" width="29.28515625" style="19" bestFit="1" customWidth="1"/>
    <col min="12546" max="12546" width="23.85546875" style="19" bestFit="1" customWidth="1"/>
    <col min="12547" max="12547" width="10.140625" style="19" bestFit="1" customWidth="1"/>
    <col min="12548" max="12548" width="37.28515625" style="19" bestFit="1" customWidth="1"/>
    <col min="12549" max="12549" width="4.140625" style="19" bestFit="1" customWidth="1"/>
    <col min="12550" max="12550" width="5.5703125" style="19" bestFit="1" customWidth="1"/>
    <col min="12551" max="12551" width="7.85546875" style="19" bestFit="1" customWidth="1"/>
    <col min="12552" max="12552" width="6.28515625" style="19" bestFit="1" customWidth="1"/>
    <col min="12553" max="12800" width="35.28515625" style="19"/>
    <col min="12801" max="12801" width="29.28515625" style="19" bestFit="1" customWidth="1"/>
    <col min="12802" max="12802" width="23.85546875" style="19" bestFit="1" customWidth="1"/>
    <col min="12803" max="12803" width="10.140625" style="19" bestFit="1" customWidth="1"/>
    <col min="12804" max="12804" width="37.28515625" style="19" bestFit="1" customWidth="1"/>
    <col min="12805" max="12805" width="4.140625" style="19" bestFit="1" customWidth="1"/>
    <col min="12806" max="12806" width="5.5703125" style="19" bestFit="1" customWidth="1"/>
    <col min="12807" max="12807" width="7.85546875" style="19" bestFit="1" customWidth="1"/>
    <col min="12808" max="12808" width="6.28515625" style="19" bestFit="1" customWidth="1"/>
    <col min="12809" max="13056" width="35.28515625" style="19"/>
    <col min="13057" max="13057" width="29.28515625" style="19" bestFit="1" customWidth="1"/>
    <col min="13058" max="13058" width="23.85546875" style="19" bestFit="1" customWidth="1"/>
    <col min="13059" max="13059" width="10.140625" style="19" bestFit="1" customWidth="1"/>
    <col min="13060" max="13060" width="37.28515625" style="19" bestFit="1" customWidth="1"/>
    <col min="13061" max="13061" width="4.140625" style="19" bestFit="1" customWidth="1"/>
    <col min="13062" max="13062" width="5.5703125" style="19" bestFit="1" customWidth="1"/>
    <col min="13063" max="13063" width="7.85546875" style="19" bestFit="1" customWidth="1"/>
    <col min="13064" max="13064" width="6.28515625" style="19" bestFit="1" customWidth="1"/>
    <col min="13065" max="13312" width="35.28515625" style="19"/>
    <col min="13313" max="13313" width="29.28515625" style="19" bestFit="1" customWidth="1"/>
    <col min="13314" max="13314" width="23.85546875" style="19" bestFit="1" customWidth="1"/>
    <col min="13315" max="13315" width="10.140625" style="19" bestFit="1" customWidth="1"/>
    <col min="13316" max="13316" width="37.28515625" style="19" bestFit="1" customWidth="1"/>
    <col min="13317" max="13317" width="4.140625" style="19" bestFit="1" customWidth="1"/>
    <col min="13318" max="13318" width="5.5703125" style="19" bestFit="1" customWidth="1"/>
    <col min="13319" max="13319" width="7.85546875" style="19" bestFit="1" customWidth="1"/>
    <col min="13320" max="13320" width="6.28515625" style="19" bestFit="1" customWidth="1"/>
    <col min="13321" max="13568" width="35.28515625" style="19"/>
    <col min="13569" max="13569" width="29.28515625" style="19" bestFit="1" customWidth="1"/>
    <col min="13570" max="13570" width="23.85546875" style="19" bestFit="1" customWidth="1"/>
    <col min="13571" max="13571" width="10.140625" style="19" bestFit="1" customWidth="1"/>
    <col min="13572" max="13572" width="37.28515625" style="19" bestFit="1" customWidth="1"/>
    <col min="13573" max="13573" width="4.140625" style="19" bestFit="1" customWidth="1"/>
    <col min="13574" max="13574" width="5.5703125" style="19" bestFit="1" customWidth="1"/>
    <col min="13575" max="13575" width="7.85546875" style="19" bestFit="1" customWidth="1"/>
    <col min="13576" max="13576" width="6.28515625" style="19" bestFit="1" customWidth="1"/>
    <col min="13577" max="13824" width="35.28515625" style="19"/>
    <col min="13825" max="13825" width="29.28515625" style="19" bestFit="1" customWidth="1"/>
    <col min="13826" max="13826" width="23.85546875" style="19" bestFit="1" customWidth="1"/>
    <col min="13827" max="13827" width="10.140625" style="19" bestFit="1" customWidth="1"/>
    <col min="13828" max="13828" width="37.28515625" style="19" bestFit="1" customWidth="1"/>
    <col min="13829" max="13829" width="4.140625" style="19" bestFit="1" customWidth="1"/>
    <col min="13830" max="13830" width="5.5703125" style="19" bestFit="1" customWidth="1"/>
    <col min="13831" max="13831" width="7.85546875" style="19" bestFit="1" customWidth="1"/>
    <col min="13832" max="13832" width="6.28515625" style="19" bestFit="1" customWidth="1"/>
    <col min="13833" max="14080" width="35.28515625" style="19"/>
    <col min="14081" max="14081" width="29.28515625" style="19" bestFit="1" customWidth="1"/>
    <col min="14082" max="14082" width="23.85546875" style="19" bestFit="1" customWidth="1"/>
    <col min="14083" max="14083" width="10.140625" style="19" bestFit="1" customWidth="1"/>
    <col min="14084" max="14084" width="37.28515625" style="19" bestFit="1" customWidth="1"/>
    <col min="14085" max="14085" width="4.140625" style="19" bestFit="1" customWidth="1"/>
    <col min="14086" max="14086" width="5.5703125" style="19" bestFit="1" customWidth="1"/>
    <col min="14087" max="14087" width="7.85546875" style="19" bestFit="1" customWidth="1"/>
    <col min="14088" max="14088" width="6.28515625" style="19" bestFit="1" customWidth="1"/>
    <col min="14089" max="14336" width="35.28515625" style="19"/>
    <col min="14337" max="14337" width="29.28515625" style="19" bestFit="1" customWidth="1"/>
    <col min="14338" max="14338" width="23.85546875" style="19" bestFit="1" customWidth="1"/>
    <col min="14339" max="14339" width="10.140625" style="19" bestFit="1" customWidth="1"/>
    <col min="14340" max="14340" width="37.28515625" style="19" bestFit="1" customWidth="1"/>
    <col min="14341" max="14341" width="4.140625" style="19" bestFit="1" customWidth="1"/>
    <col min="14342" max="14342" width="5.5703125" style="19" bestFit="1" customWidth="1"/>
    <col min="14343" max="14343" width="7.85546875" style="19" bestFit="1" customWidth="1"/>
    <col min="14344" max="14344" width="6.28515625" style="19" bestFit="1" customWidth="1"/>
    <col min="14345" max="14592" width="35.28515625" style="19"/>
    <col min="14593" max="14593" width="29.28515625" style="19" bestFit="1" customWidth="1"/>
    <col min="14594" max="14594" width="23.85546875" style="19" bestFit="1" customWidth="1"/>
    <col min="14595" max="14595" width="10.140625" style="19" bestFit="1" customWidth="1"/>
    <col min="14596" max="14596" width="37.28515625" style="19" bestFit="1" customWidth="1"/>
    <col min="14597" max="14597" width="4.140625" style="19" bestFit="1" customWidth="1"/>
    <col min="14598" max="14598" width="5.5703125" style="19" bestFit="1" customWidth="1"/>
    <col min="14599" max="14599" width="7.85546875" style="19" bestFit="1" customWidth="1"/>
    <col min="14600" max="14600" width="6.28515625" style="19" bestFit="1" customWidth="1"/>
    <col min="14601" max="14848" width="35.28515625" style="19"/>
    <col min="14849" max="14849" width="29.28515625" style="19" bestFit="1" customWidth="1"/>
    <col min="14850" max="14850" width="23.85546875" style="19" bestFit="1" customWidth="1"/>
    <col min="14851" max="14851" width="10.140625" style="19" bestFit="1" customWidth="1"/>
    <col min="14852" max="14852" width="37.28515625" style="19" bestFit="1" customWidth="1"/>
    <col min="14853" max="14853" width="4.140625" style="19" bestFit="1" customWidth="1"/>
    <col min="14854" max="14854" width="5.5703125" style="19" bestFit="1" customWidth="1"/>
    <col min="14855" max="14855" width="7.85546875" style="19" bestFit="1" customWidth="1"/>
    <col min="14856" max="14856" width="6.28515625" style="19" bestFit="1" customWidth="1"/>
    <col min="14857" max="15104" width="35.28515625" style="19"/>
    <col min="15105" max="15105" width="29.28515625" style="19" bestFit="1" customWidth="1"/>
    <col min="15106" max="15106" width="23.85546875" style="19" bestFit="1" customWidth="1"/>
    <col min="15107" max="15107" width="10.140625" style="19" bestFit="1" customWidth="1"/>
    <col min="15108" max="15108" width="37.28515625" style="19" bestFit="1" customWidth="1"/>
    <col min="15109" max="15109" width="4.140625" style="19" bestFit="1" customWidth="1"/>
    <col min="15110" max="15110" width="5.5703125" style="19" bestFit="1" customWidth="1"/>
    <col min="15111" max="15111" width="7.85546875" style="19" bestFit="1" customWidth="1"/>
    <col min="15112" max="15112" width="6.28515625" style="19" bestFit="1" customWidth="1"/>
    <col min="15113" max="15360" width="35.28515625" style="19"/>
    <col min="15361" max="15361" width="29.28515625" style="19" bestFit="1" customWidth="1"/>
    <col min="15362" max="15362" width="23.85546875" style="19" bestFit="1" customWidth="1"/>
    <col min="15363" max="15363" width="10.140625" style="19" bestFit="1" customWidth="1"/>
    <col min="15364" max="15364" width="37.28515625" style="19" bestFit="1" customWidth="1"/>
    <col min="15365" max="15365" width="4.140625" style="19" bestFit="1" customWidth="1"/>
    <col min="15366" max="15366" width="5.5703125" style="19" bestFit="1" customWidth="1"/>
    <col min="15367" max="15367" width="7.85546875" style="19" bestFit="1" customWidth="1"/>
    <col min="15368" max="15368" width="6.28515625" style="19" bestFit="1" customWidth="1"/>
    <col min="15369" max="15616" width="35.28515625" style="19"/>
    <col min="15617" max="15617" width="29.28515625" style="19" bestFit="1" customWidth="1"/>
    <col min="15618" max="15618" width="23.85546875" style="19" bestFit="1" customWidth="1"/>
    <col min="15619" max="15619" width="10.140625" style="19" bestFit="1" customWidth="1"/>
    <col min="15620" max="15620" width="37.28515625" style="19" bestFit="1" customWidth="1"/>
    <col min="15621" max="15621" width="4.140625" style="19" bestFit="1" customWidth="1"/>
    <col min="15622" max="15622" width="5.5703125" style="19" bestFit="1" customWidth="1"/>
    <col min="15623" max="15623" width="7.85546875" style="19" bestFit="1" customWidth="1"/>
    <col min="15624" max="15624" width="6.28515625" style="19" bestFit="1" customWidth="1"/>
    <col min="15625" max="15872" width="35.28515625" style="19"/>
    <col min="15873" max="15873" width="29.28515625" style="19" bestFit="1" customWidth="1"/>
    <col min="15874" max="15874" width="23.85546875" style="19" bestFit="1" customWidth="1"/>
    <col min="15875" max="15875" width="10.140625" style="19" bestFit="1" customWidth="1"/>
    <col min="15876" max="15876" width="37.28515625" style="19" bestFit="1" customWidth="1"/>
    <col min="15877" max="15877" width="4.140625" style="19" bestFit="1" customWidth="1"/>
    <col min="15878" max="15878" width="5.5703125" style="19" bestFit="1" customWidth="1"/>
    <col min="15879" max="15879" width="7.85546875" style="19" bestFit="1" customWidth="1"/>
    <col min="15880" max="15880" width="6.28515625" style="19" bestFit="1" customWidth="1"/>
    <col min="15881" max="16128" width="35.28515625" style="19"/>
    <col min="16129" max="16129" width="29.28515625" style="19" bestFit="1" customWidth="1"/>
    <col min="16130" max="16130" width="23.85546875" style="19" bestFit="1" customWidth="1"/>
    <col min="16131" max="16131" width="10.140625" style="19" bestFit="1" customWidth="1"/>
    <col min="16132" max="16132" width="37.28515625" style="19" bestFit="1" customWidth="1"/>
    <col min="16133" max="16133" width="4.140625" style="19" bestFit="1" customWidth="1"/>
    <col min="16134" max="16134" width="5.5703125" style="19" bestFit="1" customWidth="1"/>
    <col min="16135" max="16135" width="7.85546875" style="19" bestFit="1" customWidth="1"/>
    <col min="16136" max="16136" width="6.28515625" style="19" bestFit="1" customWidth="1"/>
    <col min="16137" max="16384" width="35.28515625" style="19"/>
  </cols>
  <sheetData>
    <row r="2" spans="1:8" x14ac:dyDescent="0.2">
      <c r="C2" s="32"/>
      <c r="D2" s="33"/>
      <c r="E2" s="32"/>
    </row>
    <row r="3" spans="1:8" ht="15.75" x14ac:dyDescent="0.2">
      <c r="A3" s="53" t="s">
        <v>9</v>
      </c>
      <c r="B3" s="53"/>
      <c r="C3" s="53"/>
      <c r="D3" s="53"/>
      <c r="E3" s="53"/>
      <c r="F3" s="53"/>
      <c r="G3" s="53"/>
      <c r="H3" s="53"/>
    </row>
    <row r="4" spans="1:8" x14ac:dyDescent="0.2">
      <c r="C4" s="32"/>
      <c r="D4" s="33"/>
      <c r="E4" s="32"/>
    </row>
    <row r="5" spans="1:8" ht="12.75" x14ac:dyDescent="0.2">
      <c r="A5" s="54" t="s">
        <v>121</v>
      </c>
      <c r="B5" s="55"/>
      <c r="C5" s="55"/>
      <c r="D5" s="55"/>
      <c r="E5" s="55"/>
      <c r="F5" s="55"/>
      <c r="G5" s="55"/>
      <c r="H5" s="55"/>
    </row>
    <row r="6" spans="1:8" x14ac:dyDescent="0.2">
      <c r="C6" s="32"/>
      <c r="D6" s="33"/>
      <c r="E6" s="32"/>
    </row>
    <row r="7" spans="1:8" x14ac:dyDescent="0.2">
      <c r="C7" s="32"/>
      <c r="D7" s="33"/>
      <c r="E7" s="32"/>
    </row>
    <row r="8" spans="1:8" x14ac:dyDescent="0.2">
      <c r="C8" s="32"/>
      <c r="D8" s="33"/>
      <c r="E8" s="32"/>
    </row>
    <row r="9" spans="1:8" x14ac:dyDescent="0.2">
      <c r="C9" s="32"/>
      <c r="D9" s="33"/>
      <c r="E9" s="32"/>
    </row>
    <row r="10" spans="1:8" x14ac:dyDescent="0.2">
      <c r="A10" s="23" t="s">
        <v>11</v>
      </c>
      <c r="B10" s="24" t="s">
        <v>12</v>
      </c>
      <c r="C10" s="23" t="s">
        <v>13</v>
      </c>
      <c r="D10" s="34" t="s">
        <v>14</v>
      </c>
      <c r="E10" s="23" t="s">
        <v>15</v>
      </c>
      <c r="F10" s="23" t="s">
        <v>16</v>
      </c>
      <c r="G10" s="23" t="s">
        <v>17</v>
      </c>
      <c r="H10" s="23" t="s">
        <v>18</v>
      </c>
    </row>
    <row r="11" spans="1:8" x14ac:dyDescent="0.2">
      <c r="A11" s="59" t="s">
        <v>304</v>
      </c>
      <c r="B11" s="60"/>
      <c r="C11" s="60"/>
      <c r="D11" s="60"/>
      <c r="E11" s="60"/>
      <c r="F11" s="60"/>
      <c r="G11" s="60"/>
      <c r="H11" s="61"/>
    </row>
    <row r="12" spans="1:8" x14ac:dyDescent="0.2">
      <c r="A12" s="25" t="s">
        <v>37</v>
      </c>
      <c r="B12" s="26" t="s">
        <v>19</v>
      </c>
      <c r="C12" s="27" t="s">
        <v>176</v>
      </c>
      <c r="D12" s="26" t="s">
        <v>20</v>
      </c>
      <c r="E12" s="27" t="s">
        <v>21</v>
      </c>
      <c r="F12" s="28">
        <v>1</v>
      </c>
      <c r="G12" s="28">
        <v>7</v>
      </c>
      <c r="H12" s="28">
        <f t="shared" ref="H12:H51" si="0">F12+G12-1</f>
        <v>7</v>
      </c>
    </row>
    <row r="13" spans="1:8" x14ac:dyDescent="0.2">
      <c r="A13" s="25" t="s">
        <v>38</v>
      </c>
      <c r="B13" s="26" t="s">
        <v>22</v>
      </c>
      <c r="C13" s="27" t="s">
        <v>176</v>
      </c>
      <c r="D13" s="26" t="s">
        <v>122</v>
      </c>
      <c r="E13" s="27" t="s">
        <v>21</v>
      </c>
      <c r="F13" s="28">
        <f t="shared" ref="F13:F51" si="1">F12+G12</f>
        <v>8</v>
      </c>
      <c r="G13" s="28">
        <v>4</v>
      </c>
      <c r="H13" s="28">
        <f t="shared" si="0"/>
        <v>11</v>
      </c>
    </row>
    <row r="14" spans="1:8" x14ac:dyDescent="0.2">
      <c r="A14" s="25" t="s">
        <v>96</v>
      </c>
      <c r="B14" s="26" t="s">
        <v>23</v>
      </c>
      <c r="C14" s="27" t="s">
        <v>176</v>
      </c>
      <c r="D14" s="26" t="s">
        <v>123</v>
      </c>
      <c r="E14" s="27" t="s">
        <v>21</v>
      </c>
      <c r="F14" s="28">
        <f t="shared" si="1"/>
        <v>12</v>
      </c>
      <c r="G14" s="28">
        <v>2</v>
      </c>
      <c r="H14" s="28">
        <f t="shared" si="0"/>
        <v>13</v>
      </c>
    </row>
    <row r="15" spans="1:8" x14ac:dyDescent="0.2">
      <c r="A15" s="25" t="s">
        <v>39</v>
      </c>
      <c r="B15" s="26" t="s">
        <v>124</v>
      </c>
      <c r="C15" s="27" t="s">
        <v>176</v>
      </c>
      <c r="D15" s="26" t="s">
        <v>305</v>
      </c>
      <c r="E15" s="27" t="s">
        <v>21</v>
      </c>
      <c r="F15" s="28">
        <f t="shared" si="1"/>
        <v>14</v>
      </c>
      <c r="G15" s="28">
        <v>2</v>
      </c>
      <c r="H15" s="28">
        <f t="shared" si="0"/>
        <v>15</v>
      </c>
    </row>
    <row r="16" spans="1:8" ht="22.5" x14ac:dyDescent="0.2">
      <c r="A16" s="25" t="s">
        <v>8</v>
      </c>
      <c r="B16" s="26" t="s">
        <v>26</v>
      </c>
      <c r="C16" s="27" t="s">
        <v>176</v>
      </c>
      <c r="D16" s="26" t="s">
        <v>125</v>
      </c>
      <c r="E16" s="27" t="s">
        <v>21</v>
      </c>
      <c r="F16" s="28">
        <f t="shared" si="1"/>
        <v>16</v>
      </c>
      <c r="G16" s="26">
        <v>3</v>
      </c>
      <c r="H16" s="28">
        <f t="shared" si="0"/>
        <v>18</v>
      </c>
    </row>
    <row r="17" spans="1:8" ht="22.5" x14ac:dyDescent="0.2">
      <c r="A17" s="25" t="s">
        <v>97</v>
      </c>
      <c r="B17" s="26" t="s">
        <v>126</v>
      </c>
      <c r="C17" s="27" t="s">
        <v>186</v>
      </c>
      <c r="D17" s="26" t="s">
        <v>62</v>
      </c>
      <c r="E17" s="27" t="s">
        <v>21</v>
      </c>
      <c r="F17" s="28">
        <f t="shared" si="1"/>
        <v>19</v>
      </c>
      <c r="G17" s="26">
        <v>3</v>
      </c>
      <c r="H17" s="28">
        <f t="shared" si="0"/>
        <v>21</v>
      </c>
    </row>
    <row r="18" spans="1:8" x14ac:dyDescent="0.2">
      <c r="A18" s="25" t="s">
        <v>98</v>
      </c>
      <c r="B18" s="26" t="s">
        <v>127</v>
      </c>
      <c r="C18" s="27" t="s">
        <v>186</v>
      </c>
      <c r="D18" s="26" t="s">
        <v>128</v>
      </c>
      <c r="E18" s="27" t="s">
        <v>21</v>
      </c>
      <c r="F18" s="28">
        <f t="shared" si="1"/>
        <v>22</v>
      </c>
      <c r="G18" s="26">
        <v>3</v>
      </c>
      <c r="H18" s="28">
        <f t="shared" si="0"/>
        <v>24</v>
      </c>
    </row>
    <row r="19" spans="1:8" x14ac:dyDescent="0.2">
      <c r="A19" s="25" t="s">
        <v>99</v>
      </c>
      <c r="B19" s="26" t="s">
        <v>129</v>
      </c>
      <c r="C19" s="27" t="s">
        <v>176</v>
      </c>
      <c r="D19" s="26" t="s">
        <v>64</v>
      </c>
      <c r="E19" s="27" t="s">
        <v>21</v>
      </c>
      <c r="F19" s="28">
        <f t="shared" si="1"/>
        <v>25</v>
      </c>
      <c r="G19" s="26">
        <v>8</v>
      </c>
      <c r="H19" s="28">
        <f t="shared" si="0"/>
        <v>32</v>
      </c>
    </row>
    <row r="20" spans="1:8" x14ac:dyDescent="0.2">
      <c r="A20" s="25" t="s">
        <v>100</v>
      </c>
      <c r="B20" s="26" t="s">
        <v>19</v>
      </c>
      <c r="C20" s="27" t="s">
        <v>176</v>
      </c>
      <c r="D20" s="30" t="s">
        <v>130</v>
      </c>
      <c r="E20" s="27" t="s">
        <v>21</v>
      </c>
      <c r="F20" s="28">
        <f t="shared" si="1"/>
        <v>33</v>
      </c>
      <c r="G20" s="26">
        <v>10</v>
      </c>
      <c r="H20" s="28">
        <f t="shared" si="0"/>
        <v>42</v>
      </c>
    </row>
    <row r="21" spans="1:8" x14ac:dyDescent="0.2">
      <c r="A21" s="25" t="s">
        <v>166</v>
      </c>
      <c r="B21" s="26" t="s">
        <v>306</v>
      </c>
      <c r="C21" s="27" t="s">
        <v>186</v>
      </c>
      <c r="D21" s="30" t="s">
        <v>307</v>
      </c>
      <c r="E21" s="27" t="s">
        <v>28</v>
      </c>
      <c r="F21" s="28">
        <f t="shared" si="1"/>
        <v>43</v>
      </c>
      <c r="G21" s="26">
        <v>55</v>
      </c>
      <c r="H21" s="28">
        <f t="shared" si="0"/>
        <v>97</v>
      </c>
    </row>
    <row r="22" spans="1:8" x14ac:dyDescent="0.2">
      <c r="A22" s="25" t="s">
        <v>167</v>
      </c>
      <c r="B22" s="26" t="s">
        <v>136</v>
      </c>
      <c r="C22" s="27" t="s">
        <v>186</v>
      </c>
      <c r="D22" s="26" t="s">
        <v>308</v>
      </c>
      <c r="E22" s="27" t="s">
        <v>21</v>
      </c>
      <c r="F22" s="28">
        <f t="shared" si="1"/>
        <v>98</v>
      </c>
      <c r="G22" s="26">
        <v>5</v>
      </c>
      <c r="H22" s="28">
        <f t="shared" si="0"/>
        <v>102</v>
      </c>
    </row>
    <row r="23" spans="1:8" ht="22.5" x14ac:dyDescent="0.2">
      <c r="A23" s="25" t="s">
        <v>168</v>
      </c>
      <c r="B23" s="26" t="s">
        <v>137</v>
      </c>
      <c r="C23" s="27" t="s">
        <v>186</v>
      </c>
      <c r="D23" s="26" t="s">
        <v>309</v>
      </c>
      <c r="E23" s="27" t="s">
        <v>29</v>
      </c>
      <c r="F23" s="28">
        <f t="shared" si="1"/>
        <v>103</v>
      </c>
      <c r="G23" s="26">
        <v>10</v>
      </c>
      <c r="H23" s="28">
        <f>F23+G23-1</f>
        <v>112</v>
      </c>
    </row>
    <row r="24" spans="1:8" ht="22.5" x14ac:dyDescent="0.2">
      <c r="A24" s="25" t="s">
        <v>106</v>
      </c>
      <c r="B24" s="26" t="s">
        <v>138</v>
      </c>
      <c r="C24" s="27" t="s">
        <v>186</v>
      </c>
      <c r="D24" s="26" t="s">
        <v>310</v>
      </c>
      <c r="E24" s="27" t="s">
        <v>29</v>
      </c>
      <c r="F24" s="28">
        <f t="shared" si="1"/>
        <v>113</v>
      </c>
      <c r="G24" s="26">
        <v>15</v>
      </c>
      <c r="H24" s="28">
        <f>F24+G24-1</f>
        <v>127</v>
      </c>
    </row>
    <row r="25" spans="1:8" ht="22.5" x14ac:dyDescent="0.2">
      <c r="A25" s="25" t="s">
        <v>108</v>
      </c>
      <c r="B25" s="26" t="s">
        <v>139</v>
      </c>
      <c r="C25" s="27" t="s">
        <v>176</v>
      </c>
      <c r="D25" s="30" t="s">
        <v>311</v>
      </c>
      <c r="E25" s="27" t="s">
        <v>21</v>
      </c>
      <c r="F25" s="28">
        <f t="shared" si="1"/>
        <v>128</v>
      </c>
      <c r="G25" s="26">
        <v>3</v>
      </c>
      <c r="H25" s="28">
        <f t="shared" si="0"/>
        <v>130</v>
      </c>
    </row>
    <row r="26" spans="1:8" x14ac:dyDescent="0.2">
      <c r="A26" s="25" t="s">
        <v>109</v>
      </c>
      <c r="B26" s="26" t="s">
        <v>312</v>
      </c>
      <c r="C26" s="27" t="s">
        <v>186</v>
      </c>
      <c r="D26" s="26" t="s">
        <v>140</v>
      </c>
      <c r="E26" s="27" t="s">
        <v>21</v>
      </c>
      <c r="F26" s="28">
        <f t="shared" si="1"/>
        <v>131</v>
      </c>
      <c r="G26" s="26">
        <v>2</v>
      </c>
      <c r="H26" s="28">
        <f t="shared" si="0"/>
        <v>132</v>
      </c>
    </row>
    <row r="27" spans="1:8" x14ac:dyDescent="0.2">
      <c r="A27" s="29" t="s">
        <v>169</v>
      </c>
      <c r="B27" s="26" t="s">
        <v>313</v>
      </c>
      <c r="C27" s="27" t="s">
        <v>176</v>
      </c>
      <c r="D27" s="30" t="s">
        <v>314</v>
      </c>
      <c r="E27" s="27" t="s">
        <v>21</v>
      </c>
      <c r="F27" s="28">
        <f t="shared" si="1"/>
        <v>133</v>
      </c>
      <c r="G27" s="26">
        <v>1</v>
      </c>
      <c r="H27" s="28">
        <f t="shared" si="0"/>
        <v>133</v>
      </c>
    </row>
    <row r="28" spans="1:8" ht="22.5" x14ac:dyDescent="0.2">
      <c r="A28" s="25" t="s">
        <v>117</v>
      </c>
      <c r="B28" s="26" t="s">
        <v>156</v>
      </c>
      <c r="C28" s="27" t="s">
        <v>186</v>
      </c>
      <c r="D28" s="26" t="s">
        <v>157</v>
      </c>
      <c r="E28" s="27" t="s">
        <v>21</v>
      </c>
      <c r="F28" s="28">
        <f t="shared" si="1"/>
        <v>134</v>
      </c>
      <c r="G28" s="26">
        <v>3</v>
      </c>
      <c r="H28" s="28">
        <f t="shared" si="0"/>
        <v>136</v>
      </c>
    </row>
    <row r="29" spans="1:8" x14ac:dyDescent="0.2">
      <c r="A29" s="25" t="s">
        <v>166</v>
      </c>
      <c r="B29" s="26" t="s">
        <v>306</v>
      </c>
      <c r="C29" s="27" t="s">
        <v>186</v>
      </c>
      <c r="D29" s="30" t="s">
        <v>307</v>
      </c>
      <c r="E29" s="27" t="s">
        <v>28</v>
      </c>
      <c r="F29" s="28">
        <f t="shared" si="1"/>
        <v>137</v>
      </c>
      <c r="G29" s="26">
        <v>2</v>
      </c>
      <c r="H29" s="28">
        <f t="shared" si="0"/>
        <v>138</v>
      </c>
    </row>
    <row r="30" spans="1:8" ht="33.75" x14ac:dyDescent="0.2">
      <c r="A30" s="25" t="s">
        <v>119</v>
      </c>
      <c r="B30" s="26" t="s">
        <v>160</v>
      </c>
      <c r="C30" s="27" t="s">
        <v>186</v>
      </c>
      <c r="D30" s="26" t="s">
        <v>161</v>
      </c>
      <c r="E30" s="27" t="s">
        <v>29</v>
      </c>
      <c r="F30" s="28">
        <f t="shared" si="1"/>
        <v>139</v>
      </c>
      <c r="G30" s="26">
        <v>15</v>
      </c>
      <c r="H30" s="28">
        <f t="shared" si="0"/>
        <v>153</v>
      </c>
    </row>
    <row r="31" spans="1:8" ht="22.5" x14ac:dyDescent="0.2">
      <c r="A31" s="25" t="s">
        <v>120</v>
      </c>
      <c r="B31" s="26" t="s">
        <v>162</v>
      </c>
      <c r="C31" s="27" t="s">
        <v>186</v>
      </c>
      <c r="D31" s="26" t="s">
        <v>163</v>
      </c>
      <c r="E31" s="27" t="s">
        <v>28</v>
      </c>
      <c r="F31" s="28">
        <f t="shared" si="1"/>
        <v>154</v>
      </c>
      <c r="G31" s="26">
        <v>15</v>
      </c>
      <c r="H31" s="28">
        <f t="shared" si="0"/>
        <v>168</v>
      </c>
    </row>
    <row r="32" spans="1:8" x14ac:dyDescent="0.2">
      <c r="A32" s="25" t="s">
        <v>111</v>
      </c>
      <c r="B32" s="26" t="s">
        <v>143</v>
      </c>
      <c r="C32" s="27" t="s">
        <v>186</v>
      </c>
      <c r="D32" s="21" t="s">
        <v>144</v>
      </c>
      <c r="E32" s="27" t="s">
        <v>21</v>
      </c>
      <c r="F32" s="28">
        <f t="shared" si="1"/>
        <v>169</v>
      </c>
      <c r="G32" s="26">
        <v>3</v>
      </c>
      <c r="H32" s="28">
        <f t="shared" si="0"/>
        <v>171</v>
      </c>
    </row>
    <row r="33" spans="1:8" ht="56.25" x14ac:dyDescent="0.2">
      <c r="A33" s="29" t="s">
        <v>170</v>
      </c>
      <c r="B33" s="26" t="s">
        <v>36</v>
      </c>
      <c r="C33" s="27" t="s">
        <v>186</v>
      </c>
      <c r="D33" s="26" t="s">
        <v>315</v>
      </c>
      <c r="E33" s="27" t="s">
        <v>29</v>
      </c>
      <c r="F33" s="28">
        <f t="shared" si="1"/>
        <v>172</v>
      </c>
      <c r="G33" s="26">
        <v>4</v>
      </c>
      <c r="H33" s="28">
        <f t="shared" si="0"/>
        <v>175</v>
      </c>
    </row>
    <row r="34" spans="1:8" ht="22.5" x14ac:dyDescent="0.2">
      <c r="A34" s="25" t="s">
        <v>107</v>
      </c>
      <c r="B34" s="26" t="s">
        <v>36</v>
      </c>
      <c r="C34" s="27" t="s">
        <v>186</v>
      </c>
      <c r="D34" s="26" t="s">
        <v>316</v>
      </c>
      <c r="E34" s="27" t="s">
        <v>21</v>
      </c>
      <c r="F34" s="28">
        <f t="shared" si="1"/>
        <v>176</v>
      </c>
      <c r="G34" s="26">
        <v>4</v>
      </c>
      <c r="H34" s="28">
        <f t="shared" si="0"/>
        <v>179</v>
      </c>
    </row>
    <row r="35" spans="1:8" ht="67.5" x14ac:dyDescent="0.2">
      <c r="A35" s="25" t="s">
        <v>112</v>
      </c>
      <c r="B35" s="26" t="s">
        <v>145</v>
      </c>
      <c r="C35" s="27" t="s">
        <v>176</v>
      </c>
      <c r="D35" s="30" t="s">
        <v>146</v>
      </c>
      <c r="E35" s="27" t="s">
        <v>21</v>
      </c>
      <c r="F35" s="28">
        <f t="shared" si="1"/>
        <v>180</v>
      </c>
      <c r="G35" s="26">
        <v>20</v>
      </c>
      <c r="H35" s="28">
        <f t="shared" si="0"/>
        <v>199</v>
      </c>
    </row>
    <row r="36" spans="1:8" ht="67.5" x14ac:dyDescent="0.2">
      <c r="A36" s="25" t="s">
        <v>113</v>
      </c>
      <c r="B36" s="26" t="s">
        <v>147</v>
      </c>
      <c r="C36" s="27" t="s">
        <v>176</v>
      </c>
      <c r="D36" s="35" t="s">
        <v>148</v>
      </c>
      <c r="E36" s="27" t="s">
        <v>29</v>
      </c>
      <c r="F36" s="28">
        <f t="shared" si="1"/>
        <v>200</v>
      </c>
      <c r="G36" s="26">
        <v>20</v>
      </c>
      <c r="H36" s="28">
        <f t="shared" si="0"/>
        <v>219</v>
      </c>
    </row>
    <row r="37" spans="1:8" ht="67.5" x14ac:dyDescent="0.2">
      <c r="A37" s="29" t="s">
        <v>114</v>
      </c>
      <c r="B37" s="26" t="s">
        <v>149</v>
      </c>
      <c r="C37" s="27" t="s">
        <v>176</v>
      </c>
      <c r="D37" s="30" t="s">
        <v>150</v>
      </c>
      <c r="E37" s="27" t="s">
        <v>29</v>
      </c>
      <c r="F37" s="28">
        <f t="shared" si="1"/>
        <v>220</v>
      </c>
      <c r="G37" s="26">
        <v>20</v>
      </c>
      <c r="H37" s="28">
        <f t="shared" si="0"/>
        <v>239</v>
      </c>
    </row>
    <row r="38" spans="1:8" ht="33.75" x14ac:dyDescent="0.2">
      <c r="A38" s="25" t="s">
        <v>110</v>
      </c>
      <c r="B38" s="26" t="s">
        <v>141</v>
      </c>
      <c r="C38" s="27" t="s">
        <v>176</v>
      </c>
      <c r="D38" s="30" t="s">
        <v>142</v>
      </c>
      <c r="E38" s="27" t="s">
        <v>21</v>
      </c>
      <c r="F38" s="28">
        <f t="shared" si="1"/>
        <v>240</v>
      </c>
      <c r="G38" s="26">
        <v>1</v>
      </c>
      <c r="H38" s="28">
        <f t="shared" si="0"/>
        <v>240</v>
      </c>
    </row>
    <row r="39" spans="1:8" ht="33.75" x14ac:dyDescent="0.2">
      <c r="A39" s="43" t="s">
        <v>171</v>
      </c>
      <c r="B39" s="26" t="s">
        <v>317</v>
      </c>
      <c r="C39" s="27" t="s">
        <v>176</v>
      </c>
      <c r="D39" s="30" t="s">
        <v>318</v>
      </c>
      <c r="E39" s="27" t="s">
        <v>21</v>
      </c>
      <c r="F39" s="28">
        <f t="shared" si="1"/>
        <v>241</v>
      </c>
      <c r="G39" s="26">
        <v>1</v>
      </c>
      <c r="H39" s="28">
        <f t="shared" si="0"/>
        <v>241</v>
      </c>
    </row>
    <row r="40" spans="1:8" ht="45" x14ac:dyDescent="0.2">
      <c r="A40" s="25" t="s">
        <v>172</v>
      </c>
      <c r="B40" s="26" t="s">
        <v>319</v>
      </c>
      <c r="C40" s="27" t="s">
        <v>176</v>
      </c>
      <c r="D40" s="30" t="s">
        <v>320</v>
      </c>
      <c r="E40" s="27" t="s">
        <v>21</v>
      </c>
      <c r="F40" s="28">
        <f t="shared" si="1"/>
        <v>242</v>
      </c>
      <c r="G40" s="26">
        <v>1</v>
      </c>
      <c r="H40" s="28">
        <f t="shared" si="0"/>
        <v>242</v>
      </c>
    </row>
    <row r="41" spans="1:8" x14ac:dyDescent="0.2">
      <c r="A41" s="25" t="s">
        <v>115</v>
      </c>
      <c r="B41" s="26" t="s">
        <v>93</v>
      </c>
      <c r="C41" s="27" t="s">
        <v>186</v>
      </c>
      <c r="D41" s="30" t="s">
        <v>151</v>
      </c>
      <c r="E41" s="27" t="s">
        <v>28</v>
      </c>
      <c r="F41" s="28">
        <f t="shared" si="1"/>
        <v>243</v>
      </c>
      <c r="G41" s="26">
        <v>255</v>
      </c>
      <c r="H41" s="28">
        <f t="shared" si="0"/>
        <v>497</v>
      </c>
    </row>
    <row r="42" spans="1:8" x14ac:dyDescent="0.2">
      <c r="A42" s="25" t="s">
        <v>116</v>
      </c>
      <c r="B42" s="26" t="s">
        <v>152</v>
      </c>
      <c r="C42" s="27" t="s">
        <v>186</v>
      </c>
      <c r="D42" s="30" t="s">
        <v>153</v>
      </c>
      <c r="E42" s="27" t="s">
        <v>28</v>
      </c>
      <c r="F42" s="28">
        <f>F41+G41</f>
        <v>498</v>
      </c>
      <c r="G42" s="26">
        <v>2000</v>
      </c>
      <c r="H42" s="28">
        <f t="shared" si="0"/>
        <v>2497</v>
      </c>
    </row>
    <row r="43" spans="1:8" ht="33.75" x14ac:dyDescent="0.2">
      <c r="A43" s="25" t="s">
        <v>173</v>
      </c>
      <c r="B43" s="26" t="s">
        <v>321</v>
      </c>
      <c r="C43" s="27" t="s">
        <v>186</v>
      </c>
      <c r="D43" s="30" t="s">
        <v>322</v>
      </c>
      <c r="E43" s="27" t="s">
        <v>28</v>
      </c>
      <c r="F43" s="28">
        <f t="shared" si="1"/>
        <v>2498</v>
      </c>
      <c r="G43" s="26">
        <v>40</v>
      </c>
      <c r="H43" s="28">
        <f t="shared" si="0"/>
        <v>2537</v>
      </c>
    </row>
    <row r="44" spans="1:8" ht="33.75" x14ac:dyDescent="0.2">
      <c r="A44" s="25" t="s">
        <v>174</v>
      </c>
      <c r="B44" s="26" t="s">
        <v>323</v>
      </c>
      <c r="C44" s="27" t="s">
        <v>186</v>
      </c>
      <c r="D44" s="30" t="s">
        <v>324</v>
      </c>
      <c r="E44" s="27" t="s">
        <v>28</v>
      </c>
      <c r="F44" s="28">
        <f t="shared" si="1"/>
        <v>2538</v>
      </c>
      <c r="G44" s="26">
        <v>4</v>
      </c>
      <c r="H44" s="28">
        <f t="shared" si="0"/>
        <v>2541</v>
      </c>
    </row>
    <row r="45" spans="1:8" ht="22.5" x14ac:dyDescent="0.2">
      <c r="A45" s="25" t="s">
        <v>101</v>
      </c>
      <c r="B45" s="26" t="s">
        <v>131</v>
      </c>
      <c r="C45" s="27" t="s">
        <v>176</v>
      </c>
      <c r="D45" s="30" t="s">
        <v>132</v>
      </c>
      <c r="E45" s="27" t="s">
        <v>29</v>
      </c>
      <c r="F45" s="28">
        <f t="shared" si="1"/>
        <v>2542</v>
      </c>
      <c r="G45" s="26">
        <v>7</v>
      </c>
      <c r="H45" s="28">
        <f t="shared" si="0"/>
        <v>2548</v>
      </c>
    </row>
    <row r="46" spans="1:8" ht="22.5" x14ac:dyDescent="0.2">
      <c r="A46" s="25" t="s">
        <v>102</v>
      </c>
      <c r="B46" s="26" t="s">
        <v>31</v>
      </c>
      <c r="C46" s="27" t="s">
        <v>186</v>
      </c>
      <c r="D46" s="30" t="s">
        <v>133</v>
      </c>
      <c r="E46" s="27" t="s">
        <v>29</v>
      </c>
      <c r="F46" s="28">
        <f t="shared" si="1"/>
        <v>2549</v>
      </c>
      <c r="G46" s="26">
        <v>50</v>
      </c>
      <c r="H46" s="28">
        <f t="shared" si="0"/>
        <v>2598</v>
      </c>
    </row>
    <row r="47" spans="1:8" ht="22.5" x14ac:dyDescent="0.2">
      <c r="A47" s="25" t="s">
        <v>103</v>
      </c>
      <c r="B47" s="26" t="s">
        <v>32</v>
      </c>
      <c r="C47" s="27" t="s">
        <v>186</v>
      </c>
      <c r="D47" s="30" t="s">
        <v>33</v>
      </c>
      <c r="E47" s="27" t="s">
        <v>29</v>
      </c>
      <c r="F47" s="28">
        <f t="shared" si="1"/>
        <v>2599</v>
      </c>
      <c r="G47" s="26">
        <v>20</v>
      </c>
      <c r="H47" s="28">
        <f t="shared" si="0"/>
        <v>2618</v>
      </c>
    </row>
    <row r="48" spans="1:8" x14ac:dyDescent="0.2">
      <c r="A48" s="25" t="s">
        <v>104</v>
      </c>
      <c r="B48" s="26" t="s">
        <v>34</v>
      </c>
      <c r="C48" s="27" t="s">
        <v>186</v>
      </c>
      <c r="D48" s="30" t="s">
        <v>134</v>
      </c>
      <c r="E48" s="27" t="s">
        <v>29</v>
      </c>
      <c r="F48" s="28">
        <f t="shared" si="1"/>
        <v>2619</v>
      </c>
      <c r="G48" s="26">
        <v>20</v>
      </c>
      <c r="H48" s="28">
        <f t="shared" si="0"/>
        <v>2638</v>
      </c>
    </row>
    <row r="49" spans="1:8" x14ac:dyDescent="0.2">
      <c r="A49" s="25" t="s">
        <v>105</v>
      </c>
      <c r="B49" s="26" t="s">
        <v>35</v>
      </c>
      <c r="C49" s="27" t="s">
        <v>186</v>
      </c>
      <c r="D49" s="30" t="s">
        <v>135</v>
      </c>
      <c r="E49" s="27" t="s">
        <v>29</v>
      </c>
      <c r="F49" s="28">
        <f t="shared" si="1"/>
        <v>2639</v>
      </c>
      <c r="G49" s="26">
        <v>20</v>
      </c>
      <c r="H49" s="28">
        <f t="shared" si="0"/>
        <v>2658</v>
      </c>
    </row>
    <row r="50" spans="1:8" ht="22.5" x14ac:dyDescent="0.2">
      <c r="A50" s="25" t="s">
        <v>118</v>
      </c>
      <c r="B50" s="26" t="s">
        <v>158</v>
      </c>
      <c r="C50" s="27" t="s">
        <v>186</v>
      </c>
      <c r="D50" s="26" t="s">
        <v>159</v>
      </c>
      <c r="E50" s="27" t="s">
        <v>21</v>
      </c>
      <c r="F50" s="28">
        <f t="shared" si="1"/>
        <v>2659</v>
      </c>
      <c r="G50" s="26">
        <v>20</v>
      </c>
      <c r="H50" s="28">
        <f t="shared" si="0"/>
        <v>2678</v>
      </c>
    </row>
    <row r="51" spans="1:8" ht="33.75" x14ac:dyDescent="0.2">
      <c r="A51" s="25" t="s">
        <v>325</v>
      </c>
      <c r="B51" s="26" t="s">
        <v>154</v>
      </c>
      <c r="C51" s="27" t="s">
        <v>186</v>
      </c>
      <c r="D51" s="26" t="s">
        <v>155</v>
      </c>
      <c r="E51" s="27" t="s">
        <v>29</v>
      </c>
      <c r="F51" s="28">
        <f t="shared" si="1"/>
        <v>2679</v>
      </c>
      <c r="G51" s="26">
        <v>2</v>
      </c>
      <c r="H51" s="28">
        <f t="shared" si="0"/>
        <v>2680</v>
      </c>
    </row>
    <row r="52" spans="1:8" ht="24" customHeight="1" x14ac:dyDescent="0.2">
      <c r="A52" s="57" t="s">
        <v>30</v>
      </c>
      <c r="B52" s="58"/>
      <c r="C52" s="58"/>
      <c r="D52" s="58"/>
      <c r="E52" s="58"/>
      <c r="F52" s="58"/>
      <c r="G52" s="58"/>
      <c r="H52" s="58"/>
    </row>
    <row r="54" spans="1:8" x14ac:dyDescent="0.2">
      <c r="A54" s="19"/>
    </row>
    <row r="55" spans="1:8" x14ac:dyDescent="0.2">
      <c r="A55" s="19"/>
    </row>
    <row r="56" spans="1:8" x14ac:dyDescent="0.2">
      <c r="A56" s="19"/>
    </row>
    <row r="57" spans="1:8" x14ac:dyDescent="0.2">
      <c r="A57" s="19"/>
    </row>
    <row r="58" spans="1:8" x14ac:dyDescent="0.2">
      <c r="A58" s="36"/>
    </row>
    <row r="59" spans="1:8" x14ac:dyDescent="0.2">
      <c r="A59" s="19"/>
    </row>
  </sheetData>
  <mergeCells count="4">
    <mergeCell ref="A3:H3"/>
    <mergeCell ref="A5:H5"/>
    <mergeCell ref="A11:H11"/>
    <mergeCell ref="A52:H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DocInv</vt:lpstr>
      <vt:lpstr>Encabezado</vt:lpstr>
      <vt:lpstr>MovInv</vt:lpstr>
      <vt:lpstr>Detalle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AMIRA BUELVAS</dc:creator>
  <cp:lastModifiedBy>Jonathan Molina</cp:lastModifiedBy>
  <dcterms:created xsi:type="dcterms:W3CDTF">2012-12-27T21:08:09Z</dcterms:created>
  <dcterms:modified xsi:type="dcterms:W3CDTF">2026-03-26T17:31:43Z</dcterms:modified>
</cp:coreProperties>
</file>